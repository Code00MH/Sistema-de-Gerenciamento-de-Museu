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6.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pivotTables/pivotTable4.xml" ContentType="application/vnd.openxmlformats-officedocument.spreadsheetml.pivot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pivotTables/pivotTable5.xml" ContentType="application/vnd.openxmlformats-officedocument.spreadsheetml.pivot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pivotTables/pivotTable6.xml" ContentType="application/vnd.openxmlformats-officedocument.spreadsheetml.pivot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always" codeName="EstaPastaDeTrabalho" hidePivotFieldList="1" defaultThemeVersion="166925"/>
  <mc:AlternateContent xmlns:mc="http://schemas.openxmlformats.org/markup-compatibility/2006">
    <mc:Choice Requires="x15">
      <x15ac:absPath xmlns:x15ac="http://schemas.microsoft.com/office/spreadsheetml/2010/11/ac" url="C:\Users\Endrew\Documents\Documentos Pessoais\pim\Menu\"/>
    </mc:Choice>
  </mc:AlternateContent>
  <xr:revisionPtr revIDLastSave="0" documentId="13_ncr:1_{B4024E1D-1AFE-4A21-AF1D-95B27B258B88}" xr6:coauthVersionLast="47" xr6:coauthVersionMax="47" xr10:uidLastSave="{00000000-0000-0000-0000-000000000000}"/>
  <bookViews>
    <workbookView xWindow="-120" yWindow="-120" windowWidth="20640" windowHeight="11040" xr2:uid="{C1091394-B181-4F35-85F7-EB855CD0DEDA}"/>
  </bookViews>
  <sheets>
    <sheet name="Central" sheetId="1" r:id="rId1"/>
    <sheet name="Caetano Veloso" sheetId="2" r:id="rId2"/>
    <sheet name="Dilermando Reis" sheetId="21" r:id="rId3"/>
    <sheet name="Ernesto Nazareth" sheetId="22" r:id="rId4"/>
    <sheet name="Heitor Villa-Lobos" sheetId="23" r:id="rId5"/>
    <sheet name="Tom Jobim" sheetId="24" r:id="rId6"/>
    <sheet name="BancoDeDados" sheetId="25" r:id="rId7"/>
    <sheet name="BD CAET" sheetId="8" r:id="rId8"/>
    <sheet name="BD DILERM" sheetId="13" r:id="rId9"/>
    <sheet name="BD ERNE" sheetId="16" r:id="rId10"/>
    <sheet name="BD HEIT" sheetId="17" r:id="rId11"/>
    <sheet name="BD TOM" sheetId="19" r:id="rId12"/>
  </sheets>
  <externalReferences>
    <externalReference r:id="rId13"/>
  </externalReferences>
  <definedNames>
    <definedName name="DadosExternos_1" localSheetId="6" hidden="1">BancoDeDados!$A$1:$J$9</definedName>
    <definedName name="DadosExternos_1" localSheetId="7" hidden="1">'BD CAET'!$A$2:$B$26</definedName>
    <definedName name="DadosExternos_1" localSheetId="8" hidden="1">'BD DILERM'!$A$2:$B$14</definedName>
    <definedName name="DadosExternos_1" localSheetId="9" hidden="1">'BD ERNE'!$A$2:$B$26</definedName>
    <definedName name="DadosExternos_1" localSheetId="10" hidden="1">'BD HEIT'!$A$2:$B$5</definedName>
    <definedName name="DadosExternos_1" localSheetId="11" hidden="1">'BD TOM'!$A$2:$B$14</definedName>
    <definedName name="DadosExternos_2" localSheetId="7" hidden="1">'BD CAET'!$D$2:$E$14</definedName>
    <definedName name="DadosExternos_2" localSheetId="8" hidden="1">'BD DILERM'!$D$2:$E$5</definedName>
    <definedName name="DadosExternos_2" localSheetId="9" hidden="1">'BD ERNE'!$D$2:$E$20</definedName>
    <definedName name="DadosExternos_2" localSheetId="10" hidden="1">'BD HEIT'!$D$2:$E$5</definedName>
    <definedName name="DadosExternos_2" localSheetId="11" hidden="1">'BD TOM'!$D$2:$E$20</definedName>
    <definedName name="DadosExternos_3" localSheetId="7" hidden="1">'BD CAET'!$G$2:$H$14</definedName>
    <definedName name="DadosExternos_3" localSheetId="8" hidden="1">'BD DILERM'!$G$2:$H$11</definedName>
    <definedName name="DadosExternos_3" localSheetId="9" hidden="1">'BD ERNE'!$G$2:$H$14</definedName>
    <definedName name="DadosExternos_3" localSheetId="10" hidden="1">'BD HEIT'!$G$2:$H$5</definedName>
    <definedName name="DadosExternos_3" localSheetId="11" hidden="1">'BD TOM'!$G$2:$H$20</definedName>
    <definedName name="DadosExternos_4" localSheetId="7" hidden="1">'BD CAET'!$J$2:$O$6</definedName>
    <definedName name="DadosExternos_4" localSheetId="8" hidden="1">'BD DILERM'!$J$2:$O$6</definedName>
    <definedName name="DadosExternos_4" localSheetId="9" hidden="1">'BD ERNE'!$J$2:$Q$6</definedName>
    <definedName name="DadosExternos_4" localSheetId="10" hidden="1">'BD HEIT'!$J$2:$O$6</definedName>
    <definedName name="DadosExternos_4" localSheetId="11" hidden="1">'BD TOM'!$J$2:$Q$6</definedName>
    <definedName name="DadosExternos_5" localSheetId="7" hidden="1">'BD CAET'!$J$9:$O$13</definedName>
    <definedName name="DadosExternos_5" localSheetId="8" hidden="1">'BD DILERM'!$J$8:$O$12</definedName>
    <definedName name="DadosExternos_5" localSheetId="9" hidden="1">'BD ERNE'!$J$8:$Q$12</definedName>
    <definedName name="DadosExternos_5" localSheetId="10" hidden="1">'BD HEIT'!$J$8:$O$12</definedName>
    <definedName name="DadosExternos_5" localSheetId="11" hidden="1">'BD TOM'!$J$8:$O$12</definedName>
    <definedName name="DadosExternos_6" localSheetId="7" hidden="1">'BD CAET'!$J$16:$O$20</definedName>
    <definedName name="DadosExternos_6" localSheetId="8" hidden="1">'BD DILERM'!$J$14:$O$18</definedName>
    <definedName name="DadosExternos_6" localSheetId="9" hidden="1">'BD ERNE'!$J$14:$Q$18</definedName>
    <definedName name="DadosExternos_6" localSheetId="10" hidden="1">'BD HEIT'!$J$14:$O$18</definedName>
    <definedName name="DadosExternos_6" localSheetId="11" hidden="1">'BD TOM'!$J$14:$N$18</definedName>
    <definedName name="SegmentaçãodeDados_Artista">#N/A</definedName>
  </definedNames>
  <calcPr calcId="191029"/>
  <pivotCaches>
    <pivotCache cacheId="5" r:id="rId14"/>
    <pivotCache cacheId="7"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 i="25" l="1"/>
  <c r="Q7" i="25"/>
  <c r="R6" i="25"/>
  <c r="F30" i="1" s="1"/>
  <c r="Q6" i="25"/>
  <c r="H30" i="1" s="1"/>
  <c r="R3" i="25"/>
  <c r="H24" i="1" s="1"/>
  <c r="Q3" i="25"/>
  <c r="F24" i="1" s="1"/>
  <c r="O14" i="25"/>
  <c r="O11" i="25"/>
  <c r="O8" i="25"/>
  <c r="O5" i="25"/>
  <c r="O2" i="25"/>
  <c r="Q16" i="25"/>
  <c r="H6" i="1" s="1"/>
  <c r="R2" i="25"/>
  <c r="H23" i="1" s="1"/>
  <c r="Q2" i="25"/>
  <c r="F23" i="1" s="1"/>
  <c r="N8" i="25"/>
  <c r="Q11" i="25"/>
  <c r="D6" i="1" s="1"/>
  <c r="N16" i="25"/>
  <c r="N15" i="25"/>
  <c r="N14" i="25"/>
  <c r="N13" i="25"/>
  <c r="N12" i="25"/>
  <c r="N11" i="25"/>
  <c r="N10" i="25"/>
  <c r="N9" i="25"/>
  <c r="N7" i="25"/>
  <c r="N6" i="25"/>
  <c r="N5" i="25"/>
  <c r="N4" i="25"/>
  <c r="N3" i="25"/>
  <c r="N2" i="25"/>
  <c r="G72" i="24"/>
  <c r="F72" i="24"/>
  <c r="E72" i="24"/>
  <c r="D72" i="24"/>
  <c r="C72" i="24"/>
  <c r="B72" i="24"/>
  <c r="G71" i="24"/>
  <c r="F71" i="24"/>
  <c r="E71" i="24"/>
  <c r="D71" i="24"/>
  <c r="C71" i="24"/>
  <c r="B71" i="24"/>
  <c r="F68" i="24"/>
  <c r="D68" i="24"/>
  <c r="B68" i="24"/>
  <c r="G45" i="24"/>
  <c r="F45" i="24"/>
  <c r="E45" i="24"/>
  <c r="D45" i="24"/>
  <c r="C45" i="24"/>
  <c r="B45" i="24"/>
  <c r="G44" i="24"/>
  <c r="F44" i="24"/>
  <c r="E44" i="24"/>
  <c r="D44" i="24"/>
  <c r="C44" i="24"/>
  <c r="B44" i="24"/>
  <c r="F41" i="24"/>
  <c r="D41" i="24"/>
  <c r="B41" i="24"/>
  <c r="G18" i="24"/>
  <c r="F18" i="24"/>
  <c r="E18" i="24"/>
  <c r="D18" i="24"/>
  <c r="C18" i="24"/>
  <c r="B18" i="24"/>
  <c r="G17" i="24"/>
  <c r="F17" i="24"/>
  <c r="E17" i="24"/>
  <c r="D17" i="24"/>
  <c r="C17" i="24"/>
  <c r="B17" i="24"/>
  <c r="F14" i="24"/>
  <c r="D14" i="24"/>
  <c r="B14" i="24"/>
  <c r="G72" i="23"/>
  <c r="F72" i="23"/>
  <c r="E72" i="23"/>
  <c r="D72" i="23"/>
  <c r="C72" i="23"/>
  <c r="B72" i="23"/>
  <c r="G71" i="23"/>
  <c r="F71" i="23"/>
  <c r="E71" i="23"/>
  <c r="D71" i="23"/>
  <c r="C71" i="23"/>
  <c r="B71" i="23"/>
  <c r="F68" i="23"/>
  <c r="D68" i="23"/>
  <c r="B68" i="23"/>
  <c r="G45" i="23"/>
  <c r="F45" i="23"/>
  <c r="E45" i="23"/>
  <c r="D45" i="23"/>
  <c r="C45" i="23"/>
  <c r="B45" i="23"/>
  <c r="G44" i="23"/>
  <c r="F44" i="23"/>
  <c r="E44" i="23"/>
  <c r="D44" i="23"/>
  <c r="C44" i="23"/>
  <c r="B44" i="23"/>
  <c r="F41" i="23"/>
  <c r="D41" i="23"/>
  <c r="B41" i="23"/>
  <c r="G18" i="23"/>
  <c r="F18" i="23"/>
  <c r="E18" i="23"/>
  <c r="D18" i="23"/>
  <c r="C18" i="23"/>
  <c r="B18" i="23"/>
  <c r="G17" i="23"/>
  <c r="F17" i="23"/>
  <c r="E17" i="23"/>
  <c r="D17" i="23"/>
  <c r="C17" i="23"/>
  <c r="B17" i="23"/>
  <c r="F14" i="23"/>
  <c r="D14" i="23"/>
  <c r="B14" i="23"/>
  <c r="G72" i="22"/>
  <c r="F72" i="22"/>
  <c r="E72" i="22"/>
  <c r="D72" i="22"/>
  <c r="C72" i="22"/>
  <c r="B72" i="22"/>
  <c r="G71" i="22"/>
  <c r="F71" i="22"/>
  <c r="E71" i="22"/>
  <c r="D71" i="22"/>
  <c r="C71" i="22"/>
  <c r="B71" i="22"/>
  <c r="F68" i="22"/>
  <c r="D68" i="22"/>
  <c r="B68" i="22"/>
  <c r="G45" i="22"/>
  <c r="F45" i="22"/>
  <c r="E45" i="22"/>
  <c r="D45" i="22"/>
  <c r="C45" i="22"/>
  <c r="B45" i="22"/>
  <c r="G44" i="22"/>
  <c r="F44" i="22"/>
  <c r="E44" i="22"/>
  <c r="D44" i="22"/>
  <c r="C44" i="22"/>
  <c r="B44" i="22"/>
  <c r="F41" i="22"/>
  <c r="D41" i="22"/>
  <c r="B41" i="22"/>
  <c r="G18" i="22"/>
  <c r="F18" i="22"/>
  <c r="E18" i="22"/>
  <c r="D18" i="22"/>
  <c r="C18" i="22"/>
  <c r="B18" i="22"/>
  <c r="G17" i="22"/>
  <c r="F17" i="22"/>
  <c r="E17" i="22"/>
  <c r="D17" i="22"/>
  <c r="C17" i="22"/>
  <c r="B17" i="22"/>
  <c r="F14" i="22"/>
  <c r="D14" i="22"/>
  <c r="B14" i="22"/>
  <c r="F72" i="21"/>
  <c r="F71" i="21"/>
  <c r="D72" i="21"/>
  <c r="D71" i="21"/>
  <c r="B72" i="21"/>
  <c r="B71" i="21"/>
  <c r="F68" i="21"/>
  <c r="D68" i="21"/>
  <c r="B68" i="21"/>
  <c r="F45" i="21"/>
  <c r="F44" i="21"/>
  <c r="D44" i="21"/>
  <c r="D45" i="21"/>
  <c r="B45" i="21"/>
  <c r="B44" i="21"/>
  <c r="F18" i="21"/>
  <c r="F41" i="21"/>
  <c r="D41" i="21"/>
  <c r="B41" i="21"/>
  <c r="G72" i="21"/>
  <c r="E72" i="21"/>
  <c r="C72" i="21"/>
  <c r="G71" i="21"/>
  <c r="E71" i="21"/>
  <c r="C71" i="21"/>
  <c r="G45" i="21"/>
  <c r="E45" i="21"/>
  <c r="C45" i="21"/>
  <c r="G44" i="21"/>
  <c r="E44" i="21"/>
  <c r="C44" i="21"/>
  <c r="G18" i="21"/>
  <c r="E18" i="21"/>
  <c r="D18" i="21"/>
  <c r="C18" i="21"/>
  <c r="B18" i="21"/>
  <c r="G17" i="21"/>
  <c r="F17" i="21"/>
  <c r="E17" i="21"/>
  <c r="D17" i="21"/>
  <c r="C17" i="21"/>
  <c r="B17" i="21"/>
  <c r="F14" i="21"/>
  <c r="D14" i="21"/>
  <c r="B14" i="21"/>
  <c r="G72" i="2"/>
  <c r="G71" i="2"/>
  <c r="E72" i="2"/>
  <c r="E71" i="2"/>
  <c r="C72" i="2"/>
  <c r="C71" i="2"/>
  <c r="F72" i="2"/>
  <c r="F71" i="2"/>
  <c r="D72" i="2"/>
  <c r="D71" i="2"/>
  <c r="B72" i="2"/>
  <c r="B71" i="2"/>
  <c r="F68" i="2"/>
  <c r="D68" i="2"/>
  <c r="B68" i="2"/>
  <c r="G45" i="2"/>
  <c r="G44" i="2"/>
  <c r="E45" i="2"/>
  <c r="E44" i="2"/>
  <c r="C45" i="2"/>
  <c r="C44" i="2"/>
  <c r="F45" i="2"/>
  <c r="F44" i="2"/>
  <c r="D45" i="2"/>
  <c r="D44" i="2"/>
  <c r="B45" i="2"/>
  <c r="B44" i="2"/>
  <c r="F41" i="2"/>
  <c r="D41" i="2"/>
  <c r="B41" i="2"/>
  <c r="F18" i="2"/>
  <c r="F17" i="2"/>
  <c r="D18" i="2"/>
  <c r="D17" i="2"/>
  <c r="B18" i="2"/>
  <c r="B17" i="2"/>
  <c r="F14" i="2"/>
  <c r="D14" i="2"/>
  <c r="B14" i="2"/>
  <c r="G18" i="2"/>
  <c r="G17" i="2"/>
  <c r="E18" i="2"/>
  <c r="E17" i="2"/>
  <c r="C18" i="2"/>
  <c r="C17" i="2"/>
  <c r="E3" i="22"/>
  <c r="E3" i="23"/>
  <c r="E3" i="21"/>
  <c r="E3" i="24"/>
  <c r="E3" i="2"/>
  <c r="Q8" i="25" l="1"/>
  <c r="H29" i="1" s="1"/>
  <c r="R8" i="25"/>
  <c r="F29" i="1" s="1"/>
  <c r="S11" i="25"/>
  <c r="R11" i="25"/>
  <c r="S2" i="25"/>
  <c r="F21" i="1" l="1"/>
  <c r="B6" i="1"/>
  <c r="R12" i="25"/>
  <c r="F6" i="1"/>
  <c r="S13" i="25"/>
  <c r="S12"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1F6C6A-4199-4663-AD1F-3CAD0E8F7979}" keepAlive="1" name="Consulta - BancoDeDados" description="Conexão com a consulta 'BancoDeDados' na pasta de trabalho." type="5" refreshedVersion="8" background="1" saveData="1">
    <dbPr connection="Provider=Microsoft.Mashup.OleDb.1;Data Source=$Workbook$;Location=BancoDeDados;Extended Properties=&quot;&quot;" command="SELECT * FROM [BancoDeDados]"/>
  </connection>
  <connection id="2" xr16:uid="{1B16C5DA-4A74-45D9-89F5-4FEA7BA9AE53}" keepAlive="1" name="Consulta - pergAbismoDeRosas" description="Conexão com a consulta 'pergAbismoDeRosas' na pasta de trabalho." type="5" refreshedVersion="8" background="1" saveData="1">
    <dbPr connection="Provider=Microsoft.Mashup.OleDb.1;Data Source=$Workbook$;Location=pergAbismoDeRosas;Extended Properties=&quot;&quot;" command="SELECT * FROM [pergAbismoDeRosas]"/>
  </connection>
  <connection id="3" xr16:uid="{C3A629D4-5B37-4E65-A395-379BBF0B17BE}" keepAlive="1" name="Consulta - pergAlegriaAlegria" description="Conexão com a consulta 'pergAlegriaAlegria' na pasta de trabalho." type="5" refreshedVersion="8" background="1" saveData="1">
    <dbPr connection="Provider=Microsoft.Mashup.OleDb.1;Data Source=$Workbook$;Location=pergAlegriaAlegria;Extended Properties=&quot;&quot;" command="SELECT * FROM [pergAlegriaAlegria]"/>
  </connection>
  <connection id="4" xr16:uid="{AA7CB33F-1186-42B7-87D7-D311A59F7360}" keepAlive="1" name="Consulta - pergApanheiTeCavaquinho" description="Conexão com a consulta 'pergApanheiTeCavaquinho' na pasta de trabalho." type="5" refreshedVersion="8" background="1" saveData="1">
    <dbPr connection="Provider=Microsoft.Mashup.OleDb.1;Data Source=$Workbook$;Location=pergApanheiTeCavaquinho;Extended Properties=&quot;&quot;" command="SELECT * FROM [pergApanheiTeCavaquinho]"/>
  </connection>
  <connection id="5" xr16:uid="{80E3D511-1872-48BB-954D-3511F6A64045}" keepAlive="1" name="Consulta - pergBrejero" description="Conexão com a consulta 'pergBrejero' na pasta de trabalho." type="5" refreshedVersion="8" background="1" saveData="1">
    <dbPr connection="Provider=Microsoft.Mashup.OleDb.1;Data Source=$Workbook$;Location=pergBrejero;Extended Properties=&quot;&quot;" command="SELECT * FROM [pergBrejero]"/>
  </connection>
  <connection id="6" xr16:uid="{7B0385F3-BA66-4E9B-B068-5BF119001BC9}" keepAlive="1" name="Consulta - pergChoroN1" description="Conexão com a consulta 'pergChoroN1' na pasta de trabalho." type="5" refreshedVersion="8" background="1" saveData="1">
    <dbPr connection="Provider=Microsoft.Mashup.OleDb.1;Data Source=$Workbook$;Location=pergChoroN1;Extended Properties=&quot;&quot;" command="SELECT * FROM [pergChoroN1]"/>
  </connection>
  <connection id="7" xr16:uid="{B313E395-5965-4C07-AA6A-751785F8BBAD}" keepAlive="1" name="Consulta - pergCoraçãoVagabundo" description="Conexão com a consulta 'pergCoraçãoVagabundo' na pasta de trabalho." type="5" refreshedVersion="8" background="1" saveData="1">
    <dbPr connection="Provider=Microsoft.Mashup.OleDb.1;Data Source=$Workbook$;Location=pergCoraçãoVagabundo;Extended Properties=&quot;&quot;" command="SELECT * FROM [pergCoraçãoVagabundo]"/>
  </connection>
  <connection id="8" xr16:uid="{FB3D6659-1548-4F0B-9007-D192887D8336}" keepAlive="1" name="Consulta - pergDesdeSamba" description="Conexão com a consulta 'pergDesdeSamba' na pasta de trabalho." type="5" refreshedVersion="8" background="1" saveData="1">
    <dbPr connection="Provider=Microsoft.Mashup.OleDb.1;Data Source=$Workbook$;Location=pergDesdeSamba;Extended Properties=&quot;&quot;" command="SELECT * FROM [pergDesdeSamba]"/>
  </connection>
  <connection id="9" xr16:uid="{D989DF8B-42EF-421A-A634-A05D7796830A}" keepAlive="1" name="Consulta - pergEstudoN1" description="Conexão com a consulta 'pergEstudoN1' na pasta de trabalho." type="5" refreshedVersion="8" background="1" saveData="1">
    <dbPr connection="Provider=Microsoft.Mashup.OleDb.1;Data Source=$Workbook$;Location=pergEstudoN1;Extended Properties=&quot;&quot;" command="SELECT * FROM [pergEstudoN1]"/>
  </connection>
  <connection id="10" xr16:uid="{5E7CFC48-48C6-4B96-8F54-0AED60547E41}" keepAlive="1" name="Consulta - pergEuSeiQueVouTeAmar" description="Conexão com a consulta 'pergEuSeiQueVouTeAmar' na pasta de trabalho." type="5" refreshedVersion="8" background="1" saveData="1">
    <dbPr connection="Provider=Microsoft.Mashup.OleDb.1;Data Source=$Workbook$;Location=pergEuSeiQueVouTeAmar;Extended Properties=&quot;&quot;" command="SELECT * FROM [pergEuSeiQueVouTeAmar]"/>
  </connection>
  <connection id="11" xr16:uid="{74DB26C3-50C7-4914-A4B9-A0089B4BDC84}" keepAlive="1" name="Consulta - pergGarotadeIpanema" description="Conexão com a consulta 'pergGarotadeIpanema' na pasta de trabalho." type="5" refreshedVersion="8" background="1" saveData="1">
    <dbPr connection="Provider=Microsoft.Mashup.OleDb.1;Data Source=$Workbook$;Location=pergGarotadeIpanema;Extended Properties=&quot;&quot;" command="SELECT * FROM [pergGarotadeIpanema]"/>
  </connection>
  <connection id="12" xr16:uid="{FF66791A-B86C-4350-964D-F534F128AC79}" keepAlive="1" name="Consulta - pergNoiteDeLua" description="Conexão com a consulta 'pergNoiteDeLua' na pasta de trabalho." type="5" refreshedVersion="8" background="1" saveData="1">
    <dbPr connection="Provider=Microsoft.Mashup.OleDb.1;Data Source=$Workbook$;Location=pergNoiteDeLua;Extended Properties=&quot;&quot;" command="SELECT * FROM [pergNoiteDeLua]"/>
  </connection>
  <connection id="13" xr16:uid="{5355137D-2489-47D3-A034-658151AB09F1}" keepAlive="1" name="Consulta - pergOdeon" description="Conexão com a consulta 'pergOdeon' na pasta de trabalho." type="5" refreshedVersion="8" background="1" saveData="1">
    <dbPr connection="Provider=Microsoft.Mashup.OleDb.1;Data Source=$Workbook$;Location=pergOdeon;Extended Properties=&quot;&quot;" command="SELECT * FROM [pergOdeon]"/>
  </connection>
  <connection id="14" xr16:uid="{3F627C8F-7E9E-4029-AB02-10BC9CCB79B6}" keepAlive="1" name="Consulta - pergPreludioN1" description="Conexão com a consulta 'pergPreludioN1' na pasta de trabalho." type="5" refreshedVersion="8" background="1" saveData="1">
    <dbPr connection="Provider=Microsoft.Mashup.OleDb.1;Data Source=$Workbook$;Location=pergPreludioN1;Extended Properties=&quot;&quot;" command="SELECT * FROM [pergPreludioN1]"/>
  </connection>
  <connection id="15" xr16:uid="{BD3E5DE1-332E-4BE6-8A9F-94728C6BA17E}" keepAlive="1" name="Consulta - pergSeElaPerguntar" description="Conexão com a consulta 'pergSeElaPerguntar' na pasta de trabalho." type="5" refreshedVersion="8" background="1" saveData="1">
    <dbPr connection="Provider=Microsoft.Mashup.OleDb.1;Data Source=$Workbook$;Location=pergSeElaPerguntar;Extended Properties=&quot;&quot;" command="SELECT * FROM [pergSeElaPerguntar]"/>
  </connection>
  <connection id="16" xr16:uid="{8DD109D1-5EC2-4445-A324-BAD9D3D3C45D}" keepAlive="1" name="Consulta - pergWave" description="Conexão com a consulta 'pergWave' na pasta de trabalho." type="5" refreshedVersion="0" background="1">
    <dbPr connection="Provider=Microsoft.Mashup.OleDb.1;Data Source=$Workbook$;Location=pergWave;Extended Properties=&quot;&quot;" command="SELECT * FROM [pergWave]"/>
  </connection>
  <connection id="17" xr16:uid="{A959C4F8-1B19-4587-9466-0620D031DC55}" keepAlive="1" name="Consulta - pergWave (2)" description="Conexão com a consulta 'pergWave (2)' na pasta de trabalho." type="5" refreshedVersion="8" background="1" saveData="1">
    <dbPr connection="Provider=Microsoft.Mashup.OleDb.1;Data Source=$Workbook$;Location=&quot;pergWave (2)&quot;;Extended Properties=&quot;&quot;" command="SELECT * FROM [pergWave (2)]"/>
  </connection>
  <connection id="18" xr16:uid="{DEB55B2F-E9F7-41B9-A9AB-A8778577BA01}" keepAlive="1" name="Consulta - respAbismoDeRosas" description="Conexão com a consulta 'respAbismoDeRosas' na pasta de trabalho." type="5" refreshedVersion="8" background="1" saveData="1">
    <dbPr connection="Provider=Microsoft.Mashup.OleDb.1;Data Source=$Workbook$;Location=respAbismoDeRosas;Extended Properties=&quot;&quot;" command="SELECT * FROM [respAbismoDeRosas]"/>
  </connection>
  <connection id="19" xr16:uid="{17DA44C5-A8D0-4AF5-91D9-7FD3A1073C45}" keepAlive="1" name="Consulta - respAlegriaAlegria" description="Conexão com a consulta 'respAlegriaAlegria' na pasta de trabalho." type="5" refreshedVersion="8" background="1" saveData="1">
    <dbPr connection="Provider=Microsoft.Mashup.OleDb.1;Data Source=$Workbook$;Location=respAlegriaAlegria;Extended Properties=&quot;&quot;" command="SELECT * FROM [respAlegriaAlegria]"/>
  </connection>
  <connection id="20" xr16:uid="{1C933B33-21A0-4972-B6E5-83534EC29B4B}" keepAlive="1" name="Consulta - respApanheiTeCavaquinho" description="Conexão com a consulta 'respApanheiTeCavaquinho' na pasta de trabalho." type="5" refreshedVersion="8" background="1" saveData="1">
    <dbPr connection="Provider=Microsoft.Mashup.OleDb.1;Data Source=$Workbook$;Location=respApanheiTeCavaquinho;Extended Properties=&quot;&quot;" command="SELECT * FROM [respApanheiTeCavaquinho]"/>
  </connection>
  <connection id="21" xr16:uid="{3BC76A20-A71F-40BC-A7E1-16A05858D8CE}" keepAlive="1" name="Consulta - respBrejero" description="Conexão com a consulta 'respBrejero' na pasta de trabalho." type="5" refreshedVersion="8" background="1" saveData="1">
    <dbPr connection="Provider=Microsoft.Mashup.OleDb.1;Data Source=$Workbook$;Location=respBrejero;Extended Properties=&quot;&quot;" command="SELECT * FROM [respBrejero]"/>
  </connection>
  <connection id="22" xr16:uid="{4DC53E2C-67B8-430A-B208-DCE91AFF35E9}" keepAlive="1" name="Consulta - respChoroN1" description="Conexão com a consulta 'respChoroN1' na pasta de trabalho." type="5" refreshedVersion="8" background="1" saveData="1">
    <dbPr connection="Provider=Microsoft.Mashup.OleDb.1;Data Source=$Workbook$;Location=respChoroN1;Extended Properties=&quot;&quot;" command="SELECT * FROM [respChoroN1]"/>
  </connection>
  <connection id="23" xr16:uid="{1AAD6C46-DE62-4E97-A418-DF386157F876}" keepAlive="1" name="Consulta - respCoraçãoVagabundo" description="Conexão com a consulta 'respCoraçãoVagabundo' na pasta de trabalho." type="5" refreshedVersion="8" background="1" saveData="1">
    <dbPr connection="Provider=Microsoft.Mashup.OleDb.1;Data Source=$Workbook$;Location=respCoraçãoVagabundo;Extended Properties=&quot;&quot;" command="SELECT * FROM [respCoraçãoVagabundo]"/>
  </connection>
  <connection id="24" xr16:uid="{5DDA5EE1-8554-4BCE-A576-C8F4CDC3931D}" keepAlive="1" name="Consulta - respDesdeSamba (2)" description="Conexão com a consulta 'respDesdeSamba (2)' na pasta de trabalho." type="5" refreshedVersion="8" background="1" saveData="1">
    <dbPr connection="Provider=Microsoft.Mashup.OleDb.1;Data Source=$Workbook$;Location=&quot;respDesdeSamba (2)&quot;;Extended Properties=&quot;&quot;" command="SELECT * FROM [respDesdeSamba (2)]"/>
  </connection>
  <connection id="25" xr16:uid="{1A2D43F5-DF56-4F55-8DFE-6B360D928C44}" keepAlive="1" name="Consulta - respEstudoN1" description="Conexão com a consulta 'respEstudoN1' na pasta de trabalho." type="5" refreshedVersion="8" background="1" saveData="1">
    <dbPr connection="Provider=Microsoft.Mashup.OleDb.1;Data Source=$Workbook$;Location=respEstudoN1;Extended Properties=&quot;&quot;" command="SELECT * FROM [respEstudoN1]"/>
  </connection>
  <connection id="26" xr16:uid="{A22ED313-6AFA-4409-BDE1-D57817CECBA0}" keepAlive="1" name="Consulta - respEuSeiQueVouTeAmar" description="Conexão com a consulta 'respEuSeiQueVouTeAmar' na pasta de trabalho." type="5" refreshedVersion="8" background="1" saveData="1">
    <dbPr connection="Provider=Microsoft.Mashup.OleDb.1;Data Source=$Workbook$;Location=respEuSeiQueVouTeAmar;Extended Properties=&quot;&quot;" command="SELECT * FROM [respEuSeiQueVouTeAmar]"/>
  </connection>
  <connection id="27" xr16:uid="{189F1ACF-46D5-458D-9A38-35955C556A4D}" keepAlive="1" name="Consulta - respGarotadeIpanema" description="Conexão com a consulta 'respGarotadeIpanema' na pasta de trabalho." type="5" refreshedVersion="8" background="1" saveData="1">
    <dbPr connection="Provider=Microsoft.Mashup.OleDb.1;Data Source=$Workbook$;Location=respGarotadeIpanema;Extended Properties=&quot;&quot;" command="SELECT * FROM [respGarotadeIpanema]"/>
  </connection>
  <connection id="28" xr16:uid="{6392753E-9721-4D42-B319-B4B732629742}" keepAlive="1" name="Consulta - respNoiteDeLua" description="Conexão com a consulta 'respNoiteDeLua' na pasta de trabalho." type="5" refreshedVersion="8" background="1" saveData="1">
    <dbPr connection="Provider=Microsoft.Mashup.OleDb.1;Data Source=$Workbook$;Location=respNoiteDeLua;Extended Properties=&quot;&quot;" command="SELECT * FROM [respNoiteDeLua]"/>
  </connection>
  <connection id="29" xr16:uid="{344064F2-303F-42D2-8446-57E87AF1EFAA}" keepAlive="1" name="Consulta - respOdeon" description="Conexão com a consulta 'respOdeon' na pasta de trabalho." type="5" refreshedVersion="8" background="1" saveData="1">
    <dbPr connection="Provider=Microsoft.Mashup.OleDb.1;Data Source=$Workbook$;Location=respOdeon;Extended Properties=&quot;&quot;" command="SELECT * FROM [respOdeon]"/>
  </connection>
  <connection id="30" xr16:uid="{F7738134-1A53-4F54-BB47-AC8B5F000D26}" keepAlive="1" name="Consulta - respPreludioN1" description="Conexão com a consulta 'respPreludioN1' na pasta de trabalho." type="5" refreshedVersion="8" background="1" saveData="1">
    <dbPr connection="Provider=Microsoft.Mashup.OleDb.1;Data Source=$Workbook$;Location=respPreludioN1;Extended Properties=&quot;&quot;" command="SELECT * FROM [respPreludioN1]"/>
  </connection>
  <connection id="31" xr16:uid="{A535A08B-2A2D-49D5-9366-276FD501743C}" keepAlive="1" name="Consulta - respSeElaPerguntar" description="Conexão com a consulta 'respSeElaPerguntar' na pasta de trabalho." type="5" refreshedVersion="0" background="1">
    <dbPr connection="Provider=Microsoft.Mashup.OleDb.1;Data Source=$Workbook$;Location=respSeElaPerguntar;Extended Properties=&quot;&quot;" command="SELECT * FROM [respSeElaPerguntar]"/>
  </connection>
  <connection id="32" xr16:uid="{C28D0853-8F18-4175-84E9-C0062A124D1B}" keepAlive="1" name="Consulta - respSeElaPerguntar (2)" description="Conexão com a consulta 'respSeElaPerguntar (2)' na pasta de trabalho." type="5" refreshedVersion="8" background="1" saveData="1">
    <dbPr connection="Provider=Microsoft.Mashup.OleDb.1;Data Source=$Workbook$;Location=&quot;respSeElaPerguntar (2)&quot;;Extended Properties=&quot;&quot;" command="SELECT * FROM [respSeElaPerguntar (2)]"/>
  </connection>
  <connection id="33" xr16:uid="{94FD50C6-C955-4474-8B3D-36C86C98FE9F}" keepAlive="1" name="Consulta - respWave" description="Conexão com a consulta 'respWave' na pasta de trabalho." type="5" refreshedVersion="8" background="1" saveData="1">
    <dbPr connection="Provider=Microsoft.Mashup.OleDb.1;Data Source=$Workbook$;Location=respWave;Extended Properties=&quot;&quot;" command="SELECT * FROM [respWave]"/>
  </connection>
</connections>
</file>

<file path=xl/sharedStrings.xml><?xml version="1.0" encoding="utf-8"?>
<sst xmlns="http://schemas.openxmlformats.org/spreadsheetml/2006/main" count="763" uniqueCount="250">
  <si>
    <t>Caetano Veloso</t>
  </si>
  <si>
    <t>Músicas</t>
  </si>
  <si>
    <t>Alegria Alegria</t>
  </si>
  <si>
    <t>Perguntas</t>
  </si>
  <si>
    <t>Resposta</t>
  </si>
  <si>
    <t>Quantidade</t>
  </si>
  <si>
    <t>Total de visitas:</t>
  </si>
  <si>
    <t>Coração Vagabundo</t>
  </si>
  <si>
    <t>Desde Samba</t>
  </si>
  <si>
    <t>Column1</t>
  </si>
  <si>
    <t>Column2</t>
  </si>
  <si>
    <t>Identificação</t>
  </si>
  <si>
    <t>Column3</t>
  </si>
  <si>
    <t>Column4</t>
  </si>
  <si>
    <t>Column5</t>
  </si>
  <si>
    <t>Column6</t>
  </si>
  <si>
    <t>1</t>
  </si>
  <si>
    <t>Você sabia que "Alegria, Alegria" é uma das músicas mais emblemáticas do movimento tropicalista no Brasil?</t>
  </si>
  <si>
    <t>Sim!</t>
  </si>
  <si>
    <t>Não.</t>
  </si>
  <si>
    <t xml:space="preserve">Alegria, Alegria é uma das músicas mais emblemáticas do movimento tropicalista no Brasil. Porém, algumas perguntas ficam no ar: Como essa canção incorpora elementos inovadores e desafiadores em sua letra e arranjo musical, que foram características distintivas do movimento? </t>
  </si>
  <si>
    <t xml:space="preserve"> "Alegria, Alegria" é uma das músicas mais emblemáticas do movimento tropicalista no Brasil. Ela é conhecida por suas letras ousadas e seu arranjo musical experimental, características que marcaram o movimento tropicalista e o tornaram influente na cultura brasileira.</t>
  </si>
  <si>
    <t>2</t>
  </si>
  <si>
    <t>Você sabia que "Alegria, Alegria" foi lançada no auge da ditadura militar no Brasil?</t>
  </si>
  <si>
    <t>Não, porém fiquei curioso. Me diga mais.</t>
  </si>
  <si>
    <t>Sim, "Alegria, Alegria" foi lançada no auge da ditadura militar no Brasil. Como a letra da música, com sua mensagem de liberdade e experimentalismo, ressoou com a atmosfera política da época?</t>
  </si>
  <si>
    <t>Alegria, Alegria foi lançada no auge da ditadura militar no Brasil. A música e sua mensagem de liberdade e experimentação artística foram marcantes em um período de censura e repressão no país, tornando-a um hino de resistência cultural.</t>
  </si>
  <si>
    <t>3</t>
  </si>
  <si>
    <t>Você sabia que "Alegria, Alegria" influenciou muitos artistas e músicos ao redor do mundo?</t>
  </si>
  <si>
    <t>Sim, eu sei.</t>
  </si>
  <si>
    <t xml:space="preserve">Não, me conte mais. </t>
  </si>
  <si>
    <t>Sim, "Alegria, Alegria" influenciou muitos artistas e músicos em todo o mundo. Como essa música transcendeu fronteiras e se tornou um marco na história da música global?"</t>
  </si>
  <si>
    <t xml:space="preserve"> "Alegria, Alegria" influenciou muitos artistas e músicos em todo o mundo. Sua fusão de estilos musicais e sua abordagem inovadora à música popular tiveram um impacto significativo na cena musical global, inspirando artistas a explorar novos horizontes musicais.</t>
  </si>
  <si>
    <t>Alegria, Alegria.</t>
  </si>
  <si>
    <t xml:space="preserve">Uma canção icônica da Tropicália que reflete o clima de otimismo e inovação cultural dos anos 60 no Brasil. A letra aborda a juventude e a busca por alegria e liberdade. </t>
  </si>
  <si>
    <t/>
  </si>
  <si>
    <t>Você sabia que "Coração Vagabundo" foi uma das primeiras canções de Caetano Veloso a abordar o tema da saudade e da busca por identidade?</t>
  </si>
  <si>
    <t>Coração Vagabundo foi uma das primeiras canções de Caetano Veloso a abordar o tema da saudade e da busca por identidade. Mas, como a letra da música expressa esses sentimentos e experiências?</t>
  </si>
  <si>
    <t>Coração Vagabundo foi uma das primeiras canções de Caetano Veloso a abordar o tema da saudade e da busca por identidade. A letra da música reflete a jornada pessoal do artista e sua relação com a música, explorando a sensação de não pertencer a um lugar específico.</t>
  </si>
  <si>
    <t>Você sabia que "Coração Vagabundo" marcou um período de exílio na vida de Caetano Veloso?</t>
  </si>
  <si>
    <t>Não, porém fiquei curioso.</t>
  </si>
  <si>
    <t>Ademais, "Coração Vagabundo" marcou um período de exílio na vida de Caetano Veloso. Como essa canção expressa os sentimentos de nostalgia e de estar longe de casa durante esse período?</t>
  </si>
  <si>
    <t>Coração Vagabundo marcou um período de exílio na vida de Caetano Veloso. A música captura os sentimentos de nostalgia, deslocamento e saudade que o artista experimentou durante seu exílio, tornando-a uma peça emocionalmente rica e pessoal.</t>
  </si>
  <si>
    <t>Você sabia que "Coração Vagabundo" é uma das canções mais emblemáticas do movimento Tropicália?</t>
  </si>
  <si>
    <t>Não, mas quero saber!</t>
  </si>
  <si>
    <t>Coração Vagabundo é uma das canções mais emblemáticas do movimento Tropicália. Porém, ficamos com uma dúvida, como essa música incorpora elementos do movimento?</t>
  </si>
  <si>
    <t>Coração Vagabundo é uma das canções mais emblemáticas do movimento Tropicália. Ela é conhecida por sua fusão de gêneros musicais, incluindo a música tradicional brasileira e elementos da cultura pop, o que a torna representativa do espírito inovador e experimental do movimento.</t>
  </si>
  <si>
    <t>Coração Vagabundo.</t>
  </si>
  <si>
    <t xml:space="preserve">Uma canção introspectiva que fala sobre sentimentos errantes e a busca por um lugar no mundo. Ela captura a sensação de não pertencer a nenhum lugar específico. </t>
  </si>
  <si>
    <t>Você sabia que "Desde que o Samba é Samba" é uma canção notável de Caetano Veloso?</t>
  </si>
  <si>
    <t>Desde que o Samba é Samba é uma canção icônica de Caetano Veloso. Porém, algumas perguntas ficam no ar: Qual é o significado e contexto lírico dessa música? Como ela reflete a influência e importância do samba na cultura brasileira?</t>
  </si>
  <si>
    <t>Desde que o Samba é Samba é uma canção notável de Caetano Veloso. A letra dessa música explora o samba como uma expressão cultural brasileira e seu impacto na vida das pessoas, destacando a importância desse gênero musical na cultura do Brasil."</t>
  </si>
  <si>
    <t>Você sabia que "Desde que o Samba é Samba" faz parte do álbum "Haiti", lançado por Caetano Veloso em 1993?</t>
  </si>
  <si>
    <t>Ademais, faz parte do álbum "Haiti", lançado por Caetano Veloso em 1993. Este álbum é marcado por suas músicas que abordam temas sociais e políticos</t>
  </si>
  <si>
    <t>Desde que o Samba é Samba faz parte do álbum "Haiti", lançado por Caetano Veloso em 1993. O álbum "Haiti" é notável por suas músicas que exploram temas sociais e políticos, e essa canção específica reflete o apreço de Caetano Veloso pelo samba como um componente essencial da cultura brasileira.</t>
  </si>
  <si>
    <t>Você sabia que "Desde que o Samba é Samba" foi influenciada pela música de João Gilberto e pela bossa nova?</t>
  </si>
  <si>
    <t>Sim,"Desde que o Samba é Samba" foi influenciada pela música de João Gilberto e pela bossa nova.</t>
  </si>
  <si>
    <t>Desde que o Samba é Samba foi influenciada pela música de João Gilberto e pela bossa nova. A canção incorpora elementos da bossa nova, como a suavidade e a sofisticação do gênero, em uma abordagem única ao samba, criando um som distintivo e emocional.</t>
  </si>
  <si>
    <t>Desde que o Samba é Samba</t>
  </si>
  <si>
    <t xml:space="preserve">Uma música que celebra a riqueza e a história do samba brasileiro. Caetano Veloso explora a evolução desse gênero musical e sua importância cultural. </t>
  </si>
  <si>
    <t>Abismo de Rosas</t>
  </si>
  <si>
    <t>Noite de Lua</t>
  </si>
  <si>
    <t>Se ela perguntar</t>
  </si>
  <si>
    <t>Você sabia que "Abismo de Rosas" é uma composição de Dilermando Reis que evoca uma sensação de melancolia e nostalgia? Além disso, a peça foi inspirada por um amor não correspondido, o que confere uma camada de emotividade à música.</t>
  </si>
  <si>
    <t>Sim, "Abismo de Rosas" é uma composição de Dilermando Reis que evoca uma sensação de melancolia e nostalgia, adicionando profundidade emocional à música.</t>
  </si>
  <si>
    <t>Abismo de Rosas é uma composição de Dilermando Reis que evoca uma sensação de melancolia e nostalgia, mas, interessantemente, a peça foi inspirada por um amor não correspondido, acrescentando uma camada de emotividade à música</t>
  </si>
  <si>
    <t>Você sabia que Abismo de Rosas" é uma das composições mais complexas tecnicamente de Dilermando Reis? Além disso, a música é conhecida por sua fusão única de influências clássicas e populares, tornando-a uma obra musical versátil."</t>
  </si>
  <si>
    <t>Não, porém quero saber o por quê.</t>
  </si>
  <si>
    <t>Sim, "Abismo de Rosas" é uma das composições mais complexas tecnicamente de Dilermando Reis, e sua fusão única de influências clássicas e populares a torna uma obra musical versátil.</t>
  </si>
  <si>
    <t>Abismo de Rosas é uma das composições mais complexas tecnicamente de Dilermando Reis, é notável por sua fusão única de influências clássicas e populares, tornando-a uma obra musical tecnicamente difícil.</t>
  </si>
  <si>
    <t>Você sabia que "Abismo de Rosas" é uma das músicas mais icônicas de Dilermando Reis, amplamente apreciada por sua beleza melódica e virtuosismo no violão? Além disso, a composição é frequentemente usada em trilhas sonoras de filmes e séries, aumentando sua popularidade.</t>
  </si>
  <si>
    <t>Sim, eu sei!</t>
  </si>
  <si>
    <t>Não, porém achei interessante! Me diga mais sobre.</t>
  </si>
  <si>
    <t>Sim, "Abismo de Rosas" é uma das músicas mais icônicas de Dilermando Reis, amplamente apreciada por sua beleza melódica e virtuosismo no violão. Além disso, a composição é frequentemente usada em trilhas sonoras de filmes e séries, aumentando sua popularidade.</t>
  </si>
  <si>
    <t>Exato, "Abismo de Rosas" é uma das músicas mais icônicas de Dilermando Reis e é amplamente apreciada por sua beleza melódica e virtuosismo no violão. É interessante notar que a composição é frequentemente usada em trilhas sonoras de filmes e séries, o que aumenta sua popularidade.</t>
  </si>
  <si>
    <t xml:space="preserve">Esta é, sem dúvida, uma das obras mais famosas de Dilermando Reis. A música é conhecida por sua melodia apaixonante e pela habilidade do compositor em criar uma atmosfera emotiva através do violão. "Abismo de Rosas" é uma peça clássica do repertório de violonistas em todo o Brasil e é frequentemente considerada um exemplo de sua maestria na composição. </t>
  </si>
  <si>
    <t>Você sabia que "Noite de Lua" de Dilermando Reis é uma composição que transmite uma atmosfera de calma e contemplação noturna? Além disso, a música foi inspirada em uma noite particularmente estrelada na cidade do Rio de Janeiro.</t>
  </si>
  <si>
    <t>Não, mas me conte mais.</t>
  </si>
  <si>
    <t>Noite de Lua de Dilermando Reis é conhecida por transmitir uma atmosfera de calma e contemplação noturna, e a música foi inspirada em uma noite estrelada na cidade do Rio de Janeiro, tornando-a ainda mais evocativa.</t>
  </si>
  <si>
    <t>Noite de Lua de Dilermando Reis sempre será conhecida por transmitir uma atmosfera de calma e contemplação noturna, e a música foi realmente inspirada em uma noite estrelada na cidade do Rio de Janeiro.</t>
  </si>
  <si>
    <t>Você sabia que "Noite de Lua" é uma composição de Dilermando Reis que apresenta uma sequência de acordes desafiadora, o que a torna um exercício valioso para estudantes de violão que desejam aprimorar suas habilidades técnicas?</t>
  </si>
  <si>
    <t>Não, mas me conte o por quê.</t>
  </si>
  <si>
    <t>Esta é uma composição de Dilermando Reis que apresenta uma sequência de acordes desafiadora, tornando-a um exercício valioso para estudantes de violão que desejam aprimorar suas habilidades técnicas.</t>
  </si>
  <si>
    <t>Noite de Lua é uma composição de Dilermando Reis que apresenta uma sequência de acordes desafiadora e é amplamente utilizada como um exercício valioso para estudantes de violão, pois há treinos individuais de dinâmicas e volumes da obra.</t>
  </si>
  <si>
    <t>Você sabia que "Noite de Lua" é considerada uma das músicas mais icônicas de Dilermando Reis, apreciada por sua beleza melódica e pela maneira como captura a atmosfera noturna em suas notas musicais?"</t>
  </si>
  <si>
    <t>Por mais que saiba, ela é considerada uma das músicas mais icônicas de Dilermando Reis, amplamente apreciada por sua beleza melódica e por como captura a atmosfera noturna em suas notas musicais.</t>
  </si>
  <si>
    <t>Na realidade, "Noite de Lua"  é considerada uma das músicas mais icônicas de Dilermando Reis, e amplamente apreciada por sua beleza melódica ou por sua capacidade de capturar a atmosfera noturna em suas notas musicais. Isso por que essa obra carrega um rio de emoções.</t>
  </si>
  <si>
    <t xml:space="preserve">Esta composição é uma impressionante demonstração do virtuosismo de Dilermando Reis no violão. Ela apresenta passagens técnicas desafiadoras, enquanto mantém uma melodia lírica e emotiva. "Noite de Lua" é uma das peças que ressaltam a habilidade única de Reis de combinar técnica e expressão emocional em sua música. </t>
  </si>
  <si>
    <t>Você sabia que "Se Ela Perguntar" é uma composição de Dilermando Reis que transmite um sentimento de alegria e celebração?</t>
  </si>
  <si>
    <t>Sim, "Se Ela Perguntar" é uma composição de Dilermando Reis que transmite um sentimento de alegria e celebração, sendo uma peça musical animada e cativante.</t>
  </si>
  <si>
    <t>Ademais, na verdade, "Se Ela Perguntar" é uma composição de Dilermando Reis que sempre transmite um sentimento de alegria e celebração, e também uma atmosfera mais serena e introspectiva!</t>
  </si>
  <si>
    <t>Você sabia que "Se Ela Perguntar" é frequentemente escolhida por músicos para demonstrar sua habilidade no violão devido à sua complexidade técnica?</t>
  </si>
  <si>
    <t>Se Ela Perguntar é frequentemente selecionada por músicos para demonstrar sua habilidade no violão, graças à complexidade técnica que a composição apresenta.</t>
  </si>
  <si>
    <t>Se Ela Perguntar é sempre escolhida por músicos pelo fato de que, para demonstrar sua habilidade no violão, sua complexidade técnica o torna uma escolha comum para esse propósito.</t>
  </si>
  <si>
    <t xml:space="preserve">Você sabia que “Se Ela Perguntar” é uma composição criada por Dilermando Reis, a partir do momento em que o mesmo estava prestes a pedir sua esposa em casamento? Sua melodia suave e calma já expõe isso. </t>
  </si>
  <si>
    <t xml:space="preserve">Sim, de fato, "Se ela Perguntar" é uma composição de Dilermando Reis que foi criada quando ele estava prestes a pedir sua esposa em casamento. A suavidade e calma da melodia refletem esse momento especial de sua vida e tornam a música ainda mais significativa. </t>
  </si>
  <si>
    <t xml:space="preserve">Na realidade, "Se ela Perguntar" é, de fato, uma composição de Dilermando Reis que ele criou quando estava prestes a pedir sua esposa em casamento. A suavidade e a calma da melodia refletem com sensibilidade esse momento especial em sua vida, tornando a música ainda mais significativa. </t>
  </si>
  <si>
    <t>Se Ela Perguntar</t>
  </si>
  <si>
    <t xml:space="preserve">Esta composição é um exemplo impressionante do talento de Dilermando Reis. Ela possui uma melodia encantadora e suave, transmitindo sentimentos de nostalgia e romance. A peça é muitas vezes apreciada por sua simplicidade elegante e pela maneira como o violão é usado para contar uma história musicalmente. </t>
  </si>
  <si>
    <t>Dilermando Reis</t>
  </si>
  <si>
    <t>Soma de Dilermando Reis</t>
  </si>
  <si>
    <t>Ernesto Nazareth</t>
  </si>
  <si>
    <t>Heitor Villa-Lobos</t>
  </si>
  <si>
    <t>Tom Jobim</t>
  </si>
  <si>
    <t>Apanhei te cavaquinho</t>
  </si>
  <si>
    <t>Brejero</t>
  </si>
  <si>
    <t>Odeon</t>
  </si>
  <si>
    <t>Column7</t>
  </si>
  <si>
    <t>Column8</t>
  </si>
  <si>
    <t>Você tinha conhecimento de que "Eu Apanhei-te Cavaquinho" é uma das peças mais reconhecidas de Ernesto Nazareth?</t>
  </si>
  <si>
    <t>Além disso, essa composição é celebrada por sua vivacidade e ritmo contagiante, sendo uma das mais populares no repertório do MPB.</t>
  </si>
  <si>
    <t>Eu Apanhei-te Cavaquinho é, de fato, uma das composições mais reconhecidas de Ernesto Nazareth. Essa composição é celebrada por sua vivacidade e ritmo contagiante, sendo uma das mais populares no repertório do MPB. A peça se destaca por sua capacidade de cativar ouvintes com sua alegria contagiante e habilidade melódica única.</t>
  </si>
  <si>
    <t>Você tinha conhecimento de que "Eu Apanhei-te Cavaquinho" foi composta por Ernesto Nazareth em 1914, demonstrando sua maestria em incorporar influências europeias à música brasileira?"</t>
  </si>
  <si>
    <t xml:space="preserve">Não, me diga mais. </t>
  </si>
  <si>
    <t>Além disso, o título sugere uma narrativa envolvendo um cavaquinho, acrescentando um toque intrigante à sua história.</t>
  </si>
  <si>
    <t>Eu Apanhei-te Cavaquinho foi, de fato, composta por Ernesto Nazareth em 1914. Essa composição é um exemplo marcante da habilidade de Nazareth em unir influências europeias à música brasileira. Além disso, o título sugere uma narrativa envolvendo um cavaquinho, acrescentando um toque intrigante à sua história.</t>
  </si>
  <si>
    <t>Você tinha conhecimento de que "Eu Apanhei-te Cavaquinho" é um exemplo notável da capacidade de Nazareth em criar melodias cativantes, incorporando elementos de polca e maxixe?</t>
  </si>
  <si>
    <t>Não, me conte mais.</t>
  </si>
  <si>
    <t>Além disso, a peça é um verdadeiro tesouro musical, representando a genialidade de Nazareth em fundir diferentes influências em uma melodia envolvente.</t>
  </si>
  <si>
    <t>Eu Apanhei-te Cavaquinho é, de fato, um exemplo notável da capacidade de Nazareth em criar melodias cativantes. Ela incorpora elementos de polca e maxixe, o que a torna uma composição única no repertório do choro. A peça é um verdadeiro tesouro musical, representando a genialidade de Nazareth em fundir diferentes influências em uma melodia envolvente.</t>
  </si>
  <si>
    <t>Apanhei-te Cavaquinho</t>
  </si>
  <si>
    <t>Essa composição é frequentemente interpretada por músicos de choro e é apreciada por sua combinação de ritmos animados, melodia encantadora e complexidade harmônica. A influência de Nazareth na música brasileira é significativa, e Apanhei-te, Cavaquinho é uma das peças mais emblemáticas que demonstram seu talento como compositor e pianista. Ela continua sendo uma parte essencial do repertório de choro e é apreciada por amantes da música brasileira em todo o mundo.</t>
  </si>
  <si>
    <t>Você tinha conhecimento de que "Brejeiro" é uma das composições mais icônicas de Ernesto Nazareth?</t>
  </si>
  <si>
    <t>Além disso, ela é um exemplo clássico do gênero choro, conhecido por seu ritmo animado e alegre.</t>
  </si>
  <si>
    <t xml:space="preserve"> "Brejeiro" é, de fato, uma das composições mais icônicas de Ernesto Nazareth. Ela é um exemplo clássico do gênero choro, conhecido por seu ritmo animado e alegre.</t>
  </si>
  <si>
    <t>Você tinha conhecimento de que "Brejeiro" foi composta por Ernesto Nazareth em 1893, tornando-se uma das primeiras composições de sua carreira?</t>
  </si>
  <si>
    <t xml:space="preserve">Sim, foi, de fato, composta por Ernesto Nazareth em 1893, representando uma das primeiras composições de sua carreira. </t>
  </si>
  <si>
    <t>Brejeiro foi, de fato, composta por Ernesto Nazareth em 1893, representando uma das primeiras composições de sua carreira. Essa peça marcante não apenas estabeleceu seu nome como compositor, mas também desempenhou um papel fundamental no enriquecimento do repertório de choro, tornando-se um verdadeiro clássico.</t>
  </si>
  <si>
    <t>Você tinha conhecimento de que "Brejeiro" evoca o espírito descontraído e "brejeiro" da música brasileira da época, caracterizada por seu ritmo contagiante e melodia cativante?</t>
  </si>
  <si>
    <t>Além disso, sua melodia cativante refletem a vivacidade e o caráter alegre da cultura musical brasileira.</t>
  </si>
  <si>
    <t>Brejeiro é, de fato, uma composição que evoca o espírito descontraído e "brejeiro" da música brasileira da época. Seu ritmo contagiante e melodia cativante refletem a vivacidade e o caráter alegre da cultura musical brasileira, tornando-a uma das obras mais queridas do repertório de piano do país.</t>
  </si>
  <si>
    <t>Brejero.</t>
  </si>
  <si>
    <t xml:space="preserve">Brejero se tornou uma das músicas mais conhecidas e amadas do repertório de choro e é frequentemente tocada em rodas de choro e em apresentações de música instrumental brasileira. Ela captura a alegria e a vivacidade da cultura musical brasileira, e sua influência perdura até os dias de hoje, sendo uma parte importante do patrimônio musical do Brasil. </t>
  </si>
  <si>
    <t>Você sabia que "Odeon" é uma das composições mais célebres de Ernesto Nazareth?</t>
  </si>
  <si>
    <t>Além disso, essa peça é um exemplo notável da habilidade de Nazareth em combinar influências musicais europeias com elementos brasileiros.</t>
  </si>
  <si>
    <t>Odeon é, de fato, uma das composições mais célebres de Ernesto Nazareth. Essa peça é um exemplo notável da habilidade de Nazareth em combinar influências musicais europeias com elementos brasileiros, criando um estilo único conhecido como choro. Ela é amplamente reconhecida e apreciada na música brasileira.</t>
  </si>
  <si>
    <t>Você sabia que "Odeon" foi composta por Ernesto Nazareth em 1909 e é uma das músicas mais icônicas do sub-gênero do MPB, o choro?</t>
  </si>
  <si>
    <t>Além disso, ela incorpora elementos de polca e maxixe, refletindo a diversidade rítmica e melódica da música brasileira da época.</t>
  </si>
  <si>
    <t>Odeon foi composta por Ernesto Nazareth em 1909 e é uma das músicas mais icônicas do sub-gênero do MPB, o choro. Ela incorpora elementos de polca e maxixe, refletindo a diversidade rítmica e melódica da música brasileira da época. Essa composição é um marco na história da música brasileira.</t>
  </si>
  <si>
    <t>Você sabia que a peça "Odeon" recebeu esse nome em homenagem a um famoso cinema localizado na região central do Rio de Janeiro?</t>
  </si>
  <si>
    <t>Além disso, "Odeon" é uma das obras mais emblemáticas da música brasileira e continua a ser apreciada e interpretada por músicos e pianistas de todo o mundo.</t>
  </si>
  <si>
    <t>A peça "Odeon" recebeu esse nome em homenagem a um famoso cinema localizado na região central do Rio de Janeiro. A composição destaca-se por sua vivacidade e brilho, tornando-se um clássico do repertório de piano brasileiro e uma representação brilhante do talento de Ernesto Nazareth. "Odeon" é uma das obras mais emblemáticas da música brasileira e continua a ser apreciada e interpretada por músicos e pianistas de todo o mundo.</t>
  </si>
  <si>
    <t>Odeon.</t>
  </si>
  <si>
    <t>Odeon é uma das obras mais famosas de Ernesto Nazareth e foi composta em 1909. A música é uma valsa brasileira que combina influências da música europeia com elementos típicos da música popular brasileira. Odeon se tornou um sucesso instantâneo e é considerada uma das composições mais icônicas de Nazareth.</t>
  </si>
  <si>
    <t>Soma de Ernesto Nazareth</t>
  </si>
  <si>
    <t>Choro N1</t>
  </si>
  <si>
    <t>Estudo N1</t>
  </si>
  <si>
    <t>Preludio N1</t>
  </si>
  <si>
    <t>Você sabia que o "Choro Nº 1" de Heitor Villa-Lobos é uma peça que reflete a influência da música popular brasileira, notadamente o choro, e se destaca por sua fusão única de estilos musicais?</t>
  </si>
  <si>
    <t>O "Choro Nº 1" de Heitor Villa-Lobos é uma peça que reflete a influência da música popular brasileira, notadamente o choro, e se destaca por sua fusão única de estilos musicais.</t>
  </si>
  <si>
    <t>Exato, "Choro Nº 1" de Heitor Villa-Lobos é uma composição que verdadeiramente reflete a influência da música popular brasileira, notadamente o choro, e se destaca por sua fusão única de estilos musicais, aonde também, tornou-se refêrencia no mundo inteiro.</t>
  </si>
  <si>
    <t xml:space="preserve">Você sabia que o "Choro Nº 1" é uma das composições mais curtas de Heitor Villa-Lobos, mas é apreciada por sua energia e ritmo animado? </t>
  </si>
  <si>
    <t>Sim, além disso, essa música frequentemente desafia os músicos com sua técnica exigente.</t>
  </si>
  <si>
    <t>Você sabia que ""Choro nº 1"" de Heitor Villa-Lobos é uma composição essencial no repertório de violão clássico brasileiro?"</t>
  </si>
  <si>
    <t>Exato, "Choro nº 1" de Heitor Villa-Lobos é considerada uma das peças mais importantes no repertório de violão clássico brasileiro. Ela é conhecida por sua combinação de influências clássicas e populares, tornando-se um marco na música clássica do Brasil.;Choro nº 1" de Heitor Villa-Lobos é uma composição essencial no repertório de violão clássico brasileiro. Ela é conhecida por sua combinação de influências clássicas e populares, tornando-se um marco na música clássica do Brasil. Além disso, a peça é frequentemente estudada por músicos de violão de todo o mundo devido à sua complexidade e riqueza musical. A importância dessa obra se reflete na maneira como influenciou a interpretação e composição para violão clássico no cenário internacional.</t>
  </si>
  <si>
    <t>Choro N°1</t>
  </si>
  <si>
    <t xml:space="preserve">O "Choro No. 1" de Villa-Lobos é uma peça brilhante e animada que encapsula o espírito do choro, um gênero musical popular brasileiro com raízes profundas na música folclórica e no ambiente das rodas de choro. Escrito em 1920, o "Choro No. 1" é uma das primeiras composições de Villa-Lobos e revela sua habilidade única de incorporar elementos da música popular brasileira em uma composição clássica. </t>
  </si>
  <si>
    <t>Você sabia que "Estudo No. 1" de Villa-Lobos é conhecido por suas características técnicas desafiadoras?</t>
  </si>
  <si>
    <t>Esta peça é famosa por apresentar desafios técnicos significativos para os músicos de violão, dentre elas: uma alta velocidade de arpejos de mão direita, precisão nas notas/sua duração e, por último, dinâmica musical.</t>
  </si>
  <si>
    <t>Estudo No. 1 de Villa-Lobos é conhecido por suas características técnicas desafiadoras. A composição requer domínio de várias técnicas de mão direita e esquerda no violão, tornando-a uma escolha frequente para músicos que desejam aprimorar suas habilidades técnicas e interpretativas no instrumento. É admirada pela combinação de desafios técnicos com expressividade musical.</t>
  </si>
  <si>
    <t>Você sabia que "Estudo No. 1" de Villa-Lobos é uma das composições que ajudaram a definir a identidade do violão clássico brasileiro?</t>
  </si>
  <si>
    <t>Ademais, é uma das composições que desempenhou um papel importante na definição da identidade do violão clássico brasileiro por conta de sua alta dificuldade e harmonia completa.</t>
  </si>
  <si>
    <t>Estudo No. 1 de Villa-Lobos é uma das composições que ajudaram a definir a identidade do violão clássico brasileiro. Esta peça é altamente apreciada e respeitada por músicos de violão e é frequentemente destacada como um exemplo notável da riqueza do repertório de violão clássico brasileiro. Ela desempenhou um papel crucial na promoção e difusão desse instrumento.</t>
  </si>
  <si>
    <t>Você sabia que "Estudo No. 1" é parte de uma série de composições importantes de Villa-Lobos?</t>
  </si>
  <si>
    <t>Além disso, faz parte de uma série de estudos compostos por Heitor Villa-Lobos para violão. Esses estudos são fundamentais para o repertório de violão clássico e contribuíram significativamente para o desenvolvimento técnico e musical dos guitarristas.</t>
  </si>
  <si>
    <t>Essa é uma das composições mais reconhecidas de Heitor Villa-Lobos e faz parte de uma série de estudos compostos por ele para violão. Esses estudos desempenharam um papel crucial no aprimoramento das habilidades técnicas e interpretativas dos guitarristas e são apreciados por sua complexidade e beleza musical.</t>
  </si>
  <si>
    <t>Estudo N°1</t>
  </si>
  <si>
    <t xml:space="preserve">O Estudo nº 1 para Violão, de Heitor Villa-Lobos, é uma das composições mais icônicas e influentes do repertório de violão clássico do século XX. A obra é uma exploração virtuosa dos arpejos, que são acordes cujas notas são tocadas em rápida sucessão, uma após a outra, geralmente em padrões ascendentes ou descendentes. </t>
  </si>
  <si>
    <t>Você sabia que "Prelúdio No. 1" é uma das composições mais reconhecidas de Heitor Villa-Lobos?</t>
  </si>
  <si>
    <t>Além disso,"Prelúdio No. 1" é amplamente reconhecido como uma das obras mais icônicas do compositor brasileiro Heitor Villa-Lobos. Porém, que características dessa peça a tornam tão distintiva?</t>
  </si>
  <si>
    <t>Pois é, "Prelúdio No. 1" é uma das composições mais reconhecidas de Heitor Villa-Lobos. Ela é notável por sua beleza melódica e complexidade harmônica, o que a torna uma das peças mais apreciadas do repertório de violão clássico brasileiro.</t>
  </si>
  <si>
    <t>Você sabia que "Prelúdio No. 1" incorpora elementos do folclore brasileiro em sua composição?</t>
  </si>
  <si>
    <t>Por incrível que seja a genialidade deste artista, "Prelúdio No. 1" é uma obra que demonstra a habilidade de Villa-Lobos em incorporar elementos do folclore brasileiro em suas composições</t>
  </si>
  <si>
    <t>Exatamente, "Prelúdio No. 1" de Heitor Villa-Lobos é conhecido por incorporar elementos do folclore brasileiro em sua composição. Através dessa incorporação, a peça evoca as raízes culturais do Brasil e é apreciada por sua capacidade de transmitir a riqueza e a diversidade da música brasileira.</t>
  </si>
  <si>
    <t>Você sabia que "Prelúdio No. 1" é uma peça que exemplifica a influência do Impressionismo na música de Villa-Lobos?</t>
  </si>
  <si>
    <t>Ademais, também é uma peça que ilustra a influência do Impressionismo na música de Villa-Lobos. Mas uma pergunta fica ao ar: como o compositor brasileiro incorporou elementos desse estilo musical europeu em uma peça que reflete as características do Impressionismo?</t>
  </si>
  <si>
    <t>Incrível, né? É notável sua influência do Impressionismo. O compositor habilmente incorporou elementos desse estilo musical europeu, que valoriza a atmosfera e a sugestão sobre a estrutura formal, em suas composições, incluindo esse prelúdio. É interessante explorar como ele adaptou essa influência ao contexto da música brasileira.</t>
  </si>
  <si>
    <t>Prelúdio N°1</t>
  </si>
  <si>
    <t xml:space="preserve">O "Prelúdio No. 1" de Villa-Lobos é uma obra que combina virtuosismo técnico com profundidade emocional. É uma peça curta, mas intensa, que cativa tanto músicos quanto ouvintes com sua riqueza melódica e harmonias evocativas. A peça é escrita em um estilo impressionista, influenciado por compositores como Claude Debussy e Maurice Ravel. </t>
  </si>
  <si>
    <t>Eu sei que vou te amar</t>
  </si>
  <si>
    <t>Garota de Ipanema</t>
  </si>
  <si>
    <t>Wave</t>
  </si>
  <si>
    <t xml:space="preserve"> Você sabia que "Eu Sei Que Vou Te Amar" é uma das canções mais icônicas do MPB?</t>
  </si>
  <si>
    <t>Eu Sei Que Vou Te Amar é uma das canções mais icônicas do MPB, conhecida por sua melodia suave e letras emotivas, características distintivas desse gênero musical que conquistou o coração de muitos apreciadores da música brasileira.</t>
  </si>
  <si>
    <t>Exato, ela é conhecida por sua melodia suave e letras emotivas, características distintivas desse gênero musical que conquistou o coração de muitos apreciadores da música brasileira.</t>
  </si>
  <si>
    <t>Você sabia que "Eu Sei Que Vou Te Amar" é uma das colaborações mais famosas entre Tom Jobim e Vinícius de Moraes?</t>
  </si>
  <si>
    <t>Além disso, essa parceria criativa foi fundamental para a criação de uma das músicas mais emblemáticas do Brasil, combinando a sensibilidade lírica de Moraes com a genialidade musical de Jobim.</t>
  </si>
  <si>
    <t xml:space="preserve"> "Eu Sei Que Vou Te Amar" é uma das colaborações mais famosas entre Tom Jobim e Vinícius de Moraes. Essa parceria criativa foi fundamental para a criação de uma das músicas mais emblemáticas do Brasil, combinando a sensibilidade lírica de Moraes com a genialidade musical de Jobim.</t>
  </si>
  <si>
    <t>Você sabia que "Eu Sei Que Vou Te Amar" tem sido amplamente interpretada por diversos artistas ao redor do mundo?</t>
  </si>
  <si>
    <t>Além disso, tem sido amplamente interpretada por diversos artistas ao redor do mundo. Sua melodia envolvente e letras emotivas a tornaram uma canção universalmente apreciada.</t>
  </si>
  <si>
    <t>Eu Sei Que Vou Te Amar tem sido amplamente interpretada por diversos artistas ao redor do mundo. Sua melodia envolvente e letras emotivas a tornaram uma canção universalmente apreciada, contribuindo para sua disseminação global e seu status como uma das obras mais queridas da música brasileira.</t>
  </si>
  <si>
    <t>Eu sei que vou te amar.</t>
  </si>
  <si>
    <t xml:space="preserve">Esta é uma canção de amor apaixonada, onde o cantor expressa a certeza de que amará alguém para sempre. A música é emocional e romântica, com uma melodia tocante que reflete os sentimentos profundos do amor eterno. </t>
  </si>
  <si>
    <t>Você sabia que "Garota de Ipanema" é uma das canções mais icônicas da música popular brasileira?</t>
  </si>
  <si>
    <t>Exato, é uma das canções mais icônicas da música popular brasileira, conhecida por sua suavidade melódica e por evocar a beleza e o estilo de vida da praia de Ipanema no Rio de Janeiro.</t>
  </si>
  <si>
    <t>Garota de Ipanema é uma das canções mais icônicas da bossa nova, conhecida por sua suavidade melódica e a influência da praia de Ipanema no Rio de Janeiro. Ela encapsula os elementos distintivos da bossa nova, como a fusão de ritmos brasileiros e a criação de uma atmosfera tranquila e cativante.</t>
  </si>
  <si>
    <t>Você sabia que "Garota de Ipanema" foi coescrita por Tom Jobim e Vinícius de Moraes?</t>
  </si>
  <si>
    <t>Sim, "Garota de Ipanema" foi coescrita por Tom Jobim e Vinícius de Moraes. A colaboração entre esses dois talentosos artistas resultou em uma das músicas mais famosas do Brasil, combinando a melodia cativante de Jobim com a letra poética de Moraes.</t>
  </si>
  <si>
    <t>Garota de Ipanema foi coescrita por Tom Jobim e Vinícius de Moraes, uma colaboração criativa que foi fundamental para a criação de uma das músicas mais famosas do Brasil, combinando a melodia envolvente de Jobim com a letra poética de Moraes.</t>
  </si>
  <si>
    <t>Você sabia que "Garota de Ipanema" tornou-se um clássico internacional e foi interpretada por diversos artistas renomados?</t>
  </si>
  <si>
    <t>Garota de Ipanema tornou-se um clássico internacional e foi interpretada por diversos artistas renomados, incluindo Frank Sinatra e Astrud Gilberto. Sua melodia envolvente e letras evocativas a tornaram uma canção universalmente apreciada, contribuindo para sua disseminação global e seu reconhecimento como um dos maiores clássicos da música brasileira.</t>
  </si>
  <si>
    <t>Garota de Ipanema.</t>
  </si>
  <si>
    <t xml:space="preserve">Esta é uma das canções mais icônicas de Tom Jobim. Ela descreve a beleza e a graça de uma jovem que passa pela praia de Ipanema, no Rio de Janeiro. A música é um hino da Música popular brasileira e captura a essência do estilo, com sua melodia suave e letras poéticas. </t>
  </si>
  <si>
    <t>Você sabia que "Wave" é uma das composições mais conhecidas de Tom Jobim?"</t>
  </si>
  <si>
    <t>Ela é notável por sua melodia envolvente e pela fusão elegante de elementos do bossa nova com influências de jazz, tornando-a uma das peças mais apreciadas do compositor.</t>
  </si>
  <si>
    <t xml:space="preserve"> Você sabia que "Wave" foi composta por Tom Jobim em homenagem às praias e ao oceano do Brasil?"</t>
  </si>
  <si>
    <t>Além disso, a música captura a atmosfera serena e relaxante das praias brasileiras, refletindo o profundo apreço de Jobim pela natureza e pelo cenário costeiro do país.</t>
  </si>
  <si>
    <t>Você sabia que "Wave" é uma das composições de Tom Jobim que ganhou reconhecimento internacional?"</t>
  </si>
  <si>
    <t>Alem disso, a beleza de sua melodia e a rica harmonia tornaram-na uma música apreciada em todo o mundo.</t>
  </si>
  <si>
    <t>Wave.</t>
  </si>
  <si>
    <t xml:space="preserve">Wave é uma música instrumental de Tom Jobim que evoca a sensação de estar à beira-mar. Sua melodia suave e ritmo sereno transmitem uma atmosfera relaxante e tranquila, como as ondas do oceano. </t>
  </si>
  <si>
    <t>Soma de Heitor Villa-Lobos</t>
  </si>
  <si>
    <t>Soma de Caetano Veloso</t>
  </si>
  <si>
    <t>Eu Apanhei-Te Cavaquinho</t>
  </si>
  <si>
    <t>Brejeiro</t>
  </si>
  <si>
    <t>Eu Sei Que Vou Te Amar</t>
  </si>
  <si>
    <t>Nome</t>
  </si>
  <si>
    <t>Data de nascimento</t>
  </si>
  <si>
    <t>Modaliade de Ingresso</t>
  </si>
  <si>
    <t>Método de Pagamento</t>
  </si>
  <si>
    <t>isabella ferreira da silva</t>
  </si>
  <si>
    <t>Inteira</t>
  </si>
  <si>
    <t>Boleto</t>
  </si>
  <si>
    <t>Meia</t>
  </si>
  <si>
    <t>isaBELLA FERREIRA DA SILVA</t>
  </si>
  <si>
    <t>ISABELLA FERREIRA DA SILVA</t>
  </si>
  <si>
    <t>PIX</t>
  </si>
  <si>
    <t>Musica</t>
  </si>
  <si>
    <t>Artista</t>
  </si>
  <si>
    <t>Qtd</t>
  </si>
  <si>
    <t>Apanhei Te Cavaquinho</t>
  </si>
  <si>
    <t>Faturamento Total</t>
  </si>
  <si>
    <t>Quantidade de Vendas</t>
  </si>
  <si>
    <t>Qtd Vendas</t>
  </si>
  <si>
    <t>Artista Moda</t>
  </si>
  <si>
    <t>Música Moda</t>
  </si>
  <si>
    <t>Idades</t>
  </si>
  <si>
    <t>Média das idades</t>
  </si>
  <si>
    <t>Faturamento por Boleto</t>
  </si>
  <si>
    <t>Faturamento por Pix</t>
  </si>
  <si>
    <t>Endrew</t>
  </si>
  <si>
    <t>Artista com Mais Interesse</t>
  </si>
  <si>
    <t>Rótulos de Linha</t>
  </si>
  <si>
    <t>Total Geral</t>
  </si>
  <si>
    <t>Soma de Qtd</t>
  </si>
  <si>
    <t>Pix</t>
  </si>
  <si>
    <t>Meia-Entrada</t>
  </si>
  <si>
    <t>Média de Idades</t>
  </si>
  <si>
    <t>Soma de Tom Jobim</t>
  </si>
  <si>
    <t>Arthur da Silva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</si>
</sst>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43" formatCode="_-* #,##0.00_-;\-* #,##0.00_-;_-* &quot;-&quot;??_-;_-@_-"/>
    <numFmt numFmtId="164" formatCode="&quot;R$&quot;\ #,##0.00"/>
  </numFmts>
  <fonts count="17" x14ac:knownFonts="1">
    <font>
      <sz val="11"/>
      <color theme="1"/>
      <name val="Calibri"/>
      <family val="2"/>
      <scheme val="minor"/>
    </font>
    <font>
      <sz val="11"/>
      <color theme="1"/>
      <name val="Abadi"/>
      <family val="2"/>
    </font>
    <font>
      <b/>
      <sz val="36"/>
      <color theme="1"/>
      <name val="Abadi"/>
      <family val="2"/>
    </font>
    <font>
      <b/>
      <sz val="26"/>
      <color theme="1"/>
      <name val="Abadi"/>
      <family val="2"/>
    </font>
    <font>
      <b/>
      <sz val="24"/>
      <color theme="1"/>
      <name val="Abadi"/>
      <family val="2"/>
    </font>
    <font>
      <sz val="12"/>
      <color theme="1"/>
      <name val="Abadi"/>
      <family val="2"/>
    </font>
    <font>
      <b/>
      <sz val="18"/>
      <color theme="1"/>
      <name val="Abadi"/>
      <family val="2"/>
    </font>
    <font>
      <sz val="18"/>
      <color theme="1"/>
      <name val="Abadi"/>
      <family val="2"/>
    </font>
    <font>
      <sz val="20"/>
      <color theme="1"/>
      <name val="Abadi"/>
      <family val="2"/>
    </font>
    <font>
      <b/>
      <sz val="48"/>
      <color theme="3"/>
      <name val="Abadi"/>
      <family val="2"/>
    </font>
    <font>
      <sz val="11"/>
      <color theme="1"/>
      <name val="Calibri"/>
      <family val="2"/>
      <scheme val="minor"/>
    </font>
    <font>
      <b/>
      <sz val="11"/>
      <color theme="1"/>
      <name val="Calibri"/>
      <family val="2"/>
      <scheme val="minor"/>
    </font>
    <font>
      <sz val="28"/>
      <color theme="1" tint="0.249977111117893"/>
      <name val="Abadi"/>
      <family val="2"/>
    </font>
    <font>
      <sz val="11"/>
      <color theme="1" tint="0.249977111117893"/>
      <name val="Abadi"/>
      <family val="2"/>
    </font>
    <font>
      <b/>
      <sz val="11"/>
      <color theme="1" tint="0.249977111117893"/>
      <name val="Abadi"/>
      <family val="2"/>
    </font>
    <font>
      <sz val="24"/>
      <color theme="1" tint="0.249977111117893"/>
      <name val="Abadi"/>
      <family val="2"/>
    </font>
    <font>
      <sz val="8"/>
      <color theme="1" tint="0.249977111117893"/>
      <name val="Abadi"/>
      <family val="2"/>
    </font>
  </fonts>
  <fills count="2">
    <fill>
      <patternFill patternType="none"/>
    </fill>
    <fill>
      <patternFill patternType="gray125"/>
    </fill>
  </fills>
  <borders count="9">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theme="0" tint="-0.249977111117893"/>
      </bottom>
      <diagonal/>
    </border>
    <border>
      <left/>
      <right style="thin">
        <color indexed="64"/>
      </right>
      <top style="thin">
        <color indexed="64"/>
      </top>
      <bottom style="thin">
        <color indexed="64"/>
      </bottom>
      <diagonal/>
    </border>
  </borders>
  <cellStyleXfs count="4">
    <xf numFmtId="0" fontId="0" fillId="0" borderId="0"/>
    <xf numFmtId="44"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cellStyleXfs>
  <cellXfs count="52">
    <xf numFmtId="0" fontId="0" fillId="0" borderId="0" xfId="0"/>
    <xf numFmtId="0" fontId="1" fillId="0" borderId="0" xfId="0" applyFont="1" applyAlignment="1">
      <alignment vertical="center"/>
    </xf>
    <xf numFmtId="0" fontId="2" fillId="0" borderId="0" xfId="0" applyFont="1" applyAlignment="1">
      <alignment horizontal="center" vertical="center"/>
    </xf>
    <xf numFmtId="0" fontId="3" fillId="0" borderId="0" xfId="0" applyFont="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8" fillId="0" borderId="0" xfId="0" applyFont="1" applyAlignment="1">
      <alignment horizontal="center" vertical="center"/>
    </xf>
    <xf numFmtId="0" fontId="0" fillId="0" borderId="0" xfId="0" applyAlignment="1">
      <alignment horizontal="center"/>
    </xf>
    <xf numFmtId="14" fontId="0" fillId="0" borderId="0" xfId="0" applyNumberFormat="1"/>
    <xf numFmtId="0" fontId="0" fillId="0" borderId="0" xfId="0" applyAlignment="1">
      <alignment horizontal="center" vertical="center"/>
    </xf>
    <xf numFmtId="0" fontId="11" fillId="0" borderId="2" xfId="0" applyFont="1" applyBorder="1"/>
    <xf numFmtId="0" fontId="11" fillId="0" borderId="2" xfId="0" applyFont="1" applyBorder="1" applyAlignment="1">
      <alignment horizontal="center" vertical="center"/>
    </xf>
    <xf numFmtId="0" fontId="0" fillId="0" borderId="2" xfId="0" applyBorder="1"/>
    <xf numFmtId="0" fontId="0" fillId="0" borderId="3" xfId="0" applyBorder="1"/>
    <xf numFmtId="0" fontId="0" fillId="0" borderId="4"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xf>
    <xf numFmtId="1" fontId="0" fillId="0" borderId="2" xfId="2" applyNumberFormat="1" applyFont="1" applyBorder="1" applyAlignment="1">
      <alignment horizontal="center"/>
    </xf>
    <xf numFmtId="164" fontId="0" fillId="0" borderId="2" xfId="1" applyNumberFormat="1" applyFont="1" applyBorder="1" applyAlignment="1">
      <alignment horizontal="center"/>
    </xf>
    <xf numFmtId="164" fontId="0" fillId="0" borderId="2" xfId="0" applyNumberFormat="1" applyBorder="1" applyAlignment="1">
      <alignment horizontal="center"/>
    </xf>
    <xf numFmtId="164" fontId="12" fillId="0" borderId="0" xfId="0" applyNumberFormat="1" applyFont="1" applyAlignment="1">
      <alignment horizontal="center" vertical="center"/>
    </xf>
    <xf numFmtId="0" fontId="12" fillId="0" borderId="0" xfId="0" applyFont="1" applyAlignment="1">
      <alignment horizontal="center" vertical="center"/>
    </xf>
    <xf numFmtId="0" fontId="14" fillId="0" borderId="0" xfId="0" applyFont="1" applyAlignment="1">
      <alignment horizontal="center"/>
    </xf>
    <xf numFmtId="0" fontId="0" fillId="0" borderId="0" xfId="0" pivotButton="1"/>
    <xf numFmtId="0" fontId="0" fillId="0" borderId="0" xfId="0" applyAlignment="1">
      <alignment horizontal="left"/>
    </xf>
    <xf numFmtId="0" fontId="0" fillId="0" borderId="4" xfId="0" applyBorder="1" applyAlignment="1">
      <alignment horizontal="center"/>
    </xf>
    <xf numFmtId="9" fontId="0" fillId="0" borderId="8" xfId="3" applyFont="1" applyBorder="1" applyAlignment="1">
      <alignment horizontal="center"/>
    </xf>
    <xf numFmtId="10" fontId="0" fillId="0" borderId="2" xfId="0" applyNumberFormat="1" applyBorder="1" applyAlignment="1">
      <alignment horizontal="center"/>
    </xf>
    <xf numFmtId="0" fontId="13" fillId="0" borderId="0" xfId="0" applyFont="1"/>
    <xf numFmtId="0" fontId="13" fillId="0" borderId="7" xfId="0" applyFont="1" applyBorder="1"/>
    <xf numFmtId="0" fontId="16" fillId="0" borderId="0" xfId="0" applyFont="1"/>
    <xf numFmtId="164" fontId="16" fillId="0" borderId="0" xfId="0" applyNumberFormat="1" applyFont="1"/>
    <xf numFmtId="0" fontId="13" fillId="0" borderId="0" xfId="0" applyFont="1" applyAlignment="1">
      <alignment horizontal="center" vertical="center"/>
    </xf>
    <xf numFmtId="0" fontId="13" fillId="0" borderId="0" xfId="0" applyFont="1" applyAlignment="1">
      <alignment horizontal="center"/>
    </xf>
    <xf numFmtId="164" fontId="15" fillId="0" borderId="0" xfId="0" applyNumberFormat="1" applyFont="1" applyAlignment="1">
      <alignment horizontal="center"/>
    </xf>
    <xf numFmtId="9" fontId="15" fillId="0" borderId="0" xfId="0" applyNumberFormat="1" applyFont="1" applyAlignment="1">
      <alignment horizontal="center"/>
    </xf>
    <xf numFmtId="0" fontId="13" fillId="0" borderId="0" xfId="0" applyFont="1" applyAlignment="1">
      <alignment vertical="center"/>
    </xf>
    <xf numFmtId="1" fontId="12" fillId="0" borderId="0" xfId="0" applyNumberFormat="1" applyFont="1" applyAlignment="1">
      <alignment horizontal="center" vertical="center"/>
    </xf>
    <xf numFmtId="164" fontId="13" fillId="0" borderId="0" xfId="0" applyNumberFormat="1" applyFont="1" applyAlignment="1">
      <alignment horizontal="center"/>
    </xf>
    <xf numFmtId="164" fontId="12" fillId="0" borderId="0" xfId="0" applyNumberFormat="1" applyFont="1" applyAlignment="1">
      <alignment horizontal="center"/>
    </xf>
    <xf numFmtId="0" fontId="13" fillId="0" borderId="0" xfId="0" applyFont="1" applyAlignment="1">
      <alignment horizontal="center"/>
    </xf>
    <xf numFmtId="0" fontId="9" fillId="0" borderId="0" xfId="0" applyFont="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1" fillId="0" borderId="1" xfId="0" applyFont="1" applyBorder="1" applyAlignment="1">
      <alignment horizontal="center" vertical="center"/>
    </xf>
    <xf numFmtId="0" fontId="8" fillId="0" borderId="1" xfId="0" applyFont="1" applyBorder="1" applyAlignment="1">
      <alignment horizontal="center" vertical="center"/>
    </xf>
    <xf numFmtId="0" fontId="0" fillId="0" borderId="0" xfId="0" applyAlignment="1">
      <alignment horizontal="center"/>
    </xf>
    <xf numFmtId="0" fontId="0" fillId="0" borderId="0" xfId="0" applyNumberFormat="1"/>
  </cellXfs>
  <cellStyles count="4">
    <cellStyle name="Moeda" xfId="1" builtinId="4"/>
    <cellStyle name="Normal" xfId="0" builtinId="0"/>
    <cellStyle name="Porcentagem" xfId="3" builtinId="5"/>
    <cellStyle name="Vírgula" xfId="2" builtinId="3"/>
  </cellStyles>
  <dxfs count="103">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1" tint="0.24994659260841701"/>
        <name val="Abadi"/>
        <family val="2"/>
        <scheme val="none"/>
      </font>
    </dxf>
    <dxf>
      <font>
        <sz val="11"/>
        <name val="Abadi"/>
        <family val="2"/>
        <scheme val="none"/>
      </font>
      <border diagonalUp="0" diagonalDown="0">
        <left/>
        <right/>
        <top/>
        <bottom/>
        <vertical/>
        <horizontal/>
      </border>
    </dxf>
  </dxfs>
  <tableStyles count="1" defaultTableStyle="TableStyleMedium2" defaultPivotStyle="PivotStyleLight16">
    <tableStyle name="a" pivot="0" table="0" count="6" xr9:uid="{284D1CA5-7C06-463E-9FF8-7ED51CB6716C}">
      <tableStyleElement type="wholeTable" dxfId="102"/>
      <tableStyleElement type="headerRow" dxfId="101"/>
    </tableStyle>
  </tableStyles>
  <colors>
    <mruColors>
      <color rgb="FF777777"/>
      <color rgb="FFFF5050"/>
    </mruColors>
  </colors>
  <extLst>
    <ext xmlns:x14="http://schemas.microsoft.com/office/spreadsheetml/2009/9/main" uri="{46F421CA-312F-682f-3DD2-61675219B42D}">
      <x14:dxfs count="4">
        <dxf>
          <font>
            <color theme="0"/>
            <name val="Abadi"/>
            <family val="2"/>
            <scheme val="none"/>
          </font>
          <fill>
            <patternFill>
              <bgColor theme="1" tint="0.14996795556505021"/>
            </patternFill>
          </fill>
        </dxf>
        <dxf>
          <font>
            <color theme="0"/>
            <name val="Abadi"/>
            <family val="2"/>
            <scheme val="none"/>
          </font>
          <fill>
            <patternFill>
              <bgColor theme="1" tint="0.24994659260841701"/>
            </patternFill>
          </fill>
        </dxf>
        <dxf>
          <font>
            <b val="0"/>
            <i val="0"/>
            <color theme="0"/>
            <name val="Abadi"/>
            <family val="2"/>
            <scheme val="none"/>
          </font>
          <fill>
            <patternFill>
              <bgColor theme="1" tint="0.24994659260841701"/>
            </patternFill>
          </fill>
        </dxf>
        <dxf>
          <font>
            <name val="Abadi"/>
            <family val="2"/>
            <scheme val="none"/>
          </font>
          <fill>
            <patternFill patternType="none">
              <bgColor auto="1"/>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a">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2-80E6-4521-BC53-898EFCD85BCB}"/>
              </c:ext>
            </c:extLst>
          </c:dPt>
          <c:dPt>
            <c:idx val="1"/>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3-80E6-4521-BC53-898EFCD85BCB}"/>
              </c:ext>
            </c:extLst>
          </c:dPt>
          <c:dPt>
            <c:idx val="2"/>
            <c:invertIfNegative val="0"/>
            <c:bubble3D val="0"/>
            <c:spPr>
              <a:solidFill>
                <a:srgbClr val="FFC000"/>
              </a:solidFill>
              <a:ln>
                <a:noFill/>
              </a:ln>
              <a:effectLst/>
            </c:spPr>
            <c:extLst>
              <c:ext xmlns:c16="http://schemas.microsoft.com/office/drawing/2014/chart" uri="{C3380CC4-5D6E-409C-BE32-E72D297353CC}">
                <c16:uniqueId val="{00000004-80E6-4521-BC53-898EFCD85BCB}"/>
              </c:ext>
            </c:extLst>
          </c:dPt>
          <c:dPt>
            <c:idx val="3"/>
            <c:invertIfNegative val="0"/>
            <c:bubble3D val="0"/>
            <c:spPr>
              <a:solidFill>
                <a:schemeClr val="tx2">
                  <a:lumMod val="75000"/>
                </a:schemeClr>
              </a:solidFill>
              <a:ln>
                <a:noFill/>
              </a:ln>
              <a:effectLst/>
            </c:spPr>
            <c:extLst>
              <c:ext xmlns:c16="http://schemas.microsoft.com/office/drawing/2014/chart" uri="{C3380CC4-5D6E-409C-BE32-E72D297353CC}">
                <c16:uniqueId val="{00000006-80E6-4521-BC53-898EFCD85BCB}"/>
              </c:ext>
            </c:extLst>
          </c:dPt>
          <c:dPt>
            <c:idx val="4"/>
            <c:invertIfNegative val="0"/>
            <c:bubble3D val="0"/>
            <c:spPr>
              <a:solidFill>
                <a:srgbClr val="002060"/>
              </a:solidFill>
              <a:ln>
                <a:noFill/>
              </a:ln>
              <a:effectLst/>
            </c:spPr>
            <c:extLst>
              <c:ext xmlns:c16="http://schemas.microsoft.com/office/drawing/2014/chart" uri="{C3380CC4-5D6E-409C-BE32-E72D297353CC}">
                <c16:uniqueId val="{00000005-80E6-4521-BC53-898EFCD85BCB}"/>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Abadi" panose="020B0604020104020204" pitchFamily="34" charset="0"/>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(BancoDeDados!$L$2,BancoDeDados!$L$5,BancoDeDados!$L$8,BancoDeDados!$L$11,BancoDeDados!$L$14)</c:f>
              <c:strCache>
                <c:ptCount val="5"/>
                <c:pt idx="0">
                  <c:v>Caetano Veloso</c:v>
                </c:pt>
                <c:pt idx="1">
                  <c:v>Dilermando Reis</c:v>
                </c:pt>
                <c:pt idx="2">
                  <c:v>Ernesto Nazareth</c:v>
                </c:pt>
                <c:pt idx="3">
                  <c:v>Heitor Villa-Lobos</c:v>
                </c:pt>
                <c:pt idx="4">
                  <c:v>Tom Jobim</c:v>
                </c:pt>
              </c:strCache>
            </c:strRef>
          </c:cat>
          <c:val>
            <c:numRef>
              <c:f>(BancoDeDados!$O$2,BancoDeDados!$O$5,BancoDeDados!$O$8,BancoDeDados!$O$11,BancoDeDados!$O$14)</c:f>
              <c:numCache>
                <c:formatCode>General</c:formatCode>
                <c:ptCount val="5"/>
                <c:pt idx="0">
                  <c:v>8</c:v>
                </c:pt>
                <c:pt idx="1">
                  <c:v>2</c:v>
                </c:pt>
                <c:pt idx="2">
                  <c:v>2</c:v>
                </c:pt>
                <c:pt idx="3">
                  <c:v>2</c:v>
                </c:pt>
                <c:pt idx="4">
                  <c:v>5</c:v>
                </c:pt>
              </c:numCache>
            </c:numRef>
          </c:val>
          <c:extLst>
            <c:ext xmlns:c16="http://schemas.microsoft.com/office/drawing/2014/chart" uri="{C3380CC4-5D6E-409C-BE32-E72D297353CC}">
              <c16:uniqueId val="{00000000-80E6-4521-BC53-898EFCD85BCB}"/>
            </c:ext>
          </c:extLst>
        </c:ser>
        <c:dLbls>
          <c:dLblPos val="inEnd"/>
          <c:showLegendKey val="0"/>
          <c:showVal val="1"/>
          <c:showCatName val="0"/>
          <c:showSerName val="0"/>
          <c:showPercent val="0"/>
          <c:showBubbleSize val="0"/>
        </c:dLbls>
        <c:gapWidth val="96"/>
        <c:overlap val="-27"/>
        <c:axId val="443663472"/>
        <c:axId val="610516512"/>
      </c:barChart>
      <c:catAx>
        <c:axId val="4436634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75000"/>
                    <a:lumOff val="25000"/>
                  </a:schemeClr>
                </a:solidFill>
                <a:latin typeface="Abadi" panose="020B0604020104020204" pitchFamily="34" charset="0"/>
                <a:ea typeface="+mn-ea"/>
                <a:cs typeface="+mn-cs"/>
              </a:defRPr>
            </a:pPr>
            <a:endParaRPr lang="pt-BR"/>
          </a:p>
        </c:txPr>
        <c:crossAx val="610516512"/>
        <c:crosses val="autoZero"/>
        <c:auto val="1"/>
        <c:lblAlgn val="ctr"/>
        <c:lblOffset val="100"/>
        <c:noMultiLvlLbl val="0"/>
      </c:catAx>
      <c:valAx>
        <c:axId val="610516512"/>
        <c:scaling>
          <c:orientation val="minMax"/>
        </c:scaling>
        <c:delete val="1"/>
        <c:axPos val="l"/>
        <c:numFmt formatCode="General" sourceLinked="1"/>
        <c:majorTickMark val="out"/>
        <c:minorTickMark val="none"/>
        <c:tickLblPos val="nextTo"/>
        <c:crossAx val="44366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[Dashboard.xlsm]BancoDeDados!Tabela dinâmica1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tx1">
              <a:lumMod val="75000"/>
              <a:lumOff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badi" panose="020B0604020104020204" pitchFamily="34" charset="0"/>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pivotFmt>
    </c:pivotFmts>
    <c:plotArea>
      <c:layout/>
      <c:barChart>
        <c:barDir val="bar"/>
        <c:grouping val="clustered"/>
        <c:varyColors val="0"/>
        <c:ser>
          <c:idx val="0"/>
          <c:order val="0"/>
          <c:tx>
            <c:strRef>
              <c:f>BancoDeDados!$M$18</c:f>
              <c:strCache>
                <c:ptCount val="1"/>
                <c:pt idx="0">
                  <c:v>Total</c:v>
                </c:pt>
              </c:strCache>
            </c:strRef>
          </c:tx>
          <c:spPr>
            <a:solidFill>
              <a:schemeClr val="tx1">
                <a:lumMod val="75000"/>
                <a:lumOff val="25000"/>
              </a:schemeClr>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badi" panose="020B0604020104020204"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BancoDeDados!$L$19:$L$22</c:f>
              <c:strCache>
                <c:ptCount val="3"/>
                <c:pt idx="0">
                  <c:v>Apanhei Te Cavaquinho</c:v>
                </c:pt>
                <c:pt idx="1">
                  <c:v>Brejero</c:v>
                </c:pt>
                <c:pt idx="2">
                  <c:v>Odeon</c:v>
                </c:pt>
              </c:strCache>
            </c:strRef>
          </c:cat>
          <c:val>
            <c:numRef>
              <c:f>BancoDeDados!$M$19:$M$22</c:f>
              <c:numCache>
                <c:formatCode>General</c:formatCode>
                <c:ptCount val="3"/>
                <c:pt idx="0">
                  <c:v>7</c:v>
                </c:pt>
                <c:pt idx="1">
                  <c:v>6</c:v>
                </c:pt>
                <c:pt idx="2">
                  <c:v>3</c:v>
                </c:pt>
              </c:numCache>
            </c:numRef>
          </c:val>
          <c:extLst>
            <c:ext xmlns:c16="http://schemas.microsoft.com/office/drawing/2014/chart" uri="{C3380CC4-5D6E-409C-BE32-E72D297353CC}">
              <c16:uniqueId val="{00000006-A5A8-42E2-95D2-C1F3797D4816}"/>
            </c:ext>
          </c:extLst>
        </c:ser>
        <c:dLbls>
          <c:showLegendKey val="0"/>
          <c:showVal val="0"/>
          <c:showCatName val="0"/>
          <c:showSerName val="0"/>
          <c:showPercent val="0"/>
          <c:showBubbleSize val="0"/>
        </c:dLbls>
        <c:gapWidth val="100"/>
        <c:axId val="731109072"/>
        <c:axId val="454635776"/>
      </c:barChart>
      <c:catAx>
        <c:axId val="7311090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75000"/>
                    <a:lumOff val="25000"/>
                  </a:schemeClr>
                </a:solidFill>
                <a:latin typeface="Abadi" panose="020B0604020104020204" pitchFamily="34" charset="0"/>
                <a:ea typeface="+mn-ea"/>
                <a:cs typeface="+mn-cs"/>
              </a:defRPr>
            </a:pPr>
            <a:endParaRPr lang="pt-BR"/>
          </a:p>
        </c:txPr>
        <c:crossAx val="454635776"/>
        <c:crosses val="autoZero"/>
        <c:auto val="1"/>
        <c:lblAlgn val="ctr"/>
        <c:lblOffset val="100"/>
        <c:noMultiLvlLbl val="0"/>
      </c:catAx>
      <c:valAx>
        <c:axId val="45463577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731109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panose="020B0604020104020204" pitchFamily="34" charset="0"/>
                <a:ea typeface="+mn-ea"/>
                <a:cs typeface="+mn-cs"/>
              </a:defRPr>
            </a:pPr>
            <a:r>
              <a:rPr lang="pt-BR" sz="1400">
                <a:latin typeface="Abadi" panose="020B0604020104020204" pitchFamily="34" charset="0"/>
              </a:rPr>
              <a:t>Modalidades</a:t>
            </a:r>
            <a:r>
              <a:rPr lang="pt-BR" sz="1400" baseline="0">
                <a:latin typeface="Abadi" panose="020B0604020104020204" pitchFamily="34" charset="0"/>
              </a:rPr>
              <a:t> de Pagamento</a:t>
            </a:r>
            <a:endParaRPr lang="pt-BR" sz="1400">
              <a:latin typeface="Abadi" panose="020B0604020104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panose="020B0604020104020204" pitchFamily="34" charset="0"/>
              <a:ea typeface="+mn-ea"/>
              <a:cs typeface="+mn-cs"/>
            </a:defRPr>
          </a:pPr>
          <a:endParaRPr lang="pt-BR"/>
        </a:p>
      </c:txPr>
    </c:title>
    <c:autoTitleDeleted val="0"/>
    <c:plotArea>
      <c:layout/>
      <c:pieChart>
        <c:varyColors val="1"/>
        <c:ser>
          <c:idx val="0"/>
          <c:order val="0"/>
          <c:spPr>
            <a:solidFill>
              <a:srgbClr val="00B050"/>
            </a:solidFill>
            <a:ln w="19050"/>
          </c:spPr>
          <c:dPt>
            <c:idx val="0"/>
            <c:bubble3D val="0"/>
            <c:spPr>
              <a:solidFill>
                <a:schemeClr val="tx1">
                  <a:lumMod val="75000"/>
                  <a:lumOff val="25000"/>
                </a:schemeClr>
              </a:solidFill>
              <a:ln w="19050">
                <a:solidFill>
                  <a:schemeClr val="lt1"/>
                </a:solidFill>
              </a:ln>
              <a:effectLst/>
            </c:spPr>
            <c:extLst>
              <c:ext xmlns:c16="http://schemas.microsoft.com/office/drawing/2014/chart" uri="{C3380CC4-5D6E-409C-BE32-E72D297353CC}">
                <c16:uniqueId val="{00000001-DD60-4BB8-BEA6-E5C02C0A38FF}"/>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DD60-4BB8-BEA6-E5C02C0A38FF}"/>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Abadi" panose="020B0604020104020204" pitchFamily="34" charset="0"/>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BancoDeDados!$Q$1:$R$1</c:f>
              <c:strCache>
                <c:ptCount val="2"/>
                <c:pt idx="0">
                  <c:v>Inteira</c:v>
                </c:pt>
                <c:pt idx="1">
                  <c:v>Meia-Entrada</c:v>
                </c:pt>
              </c:strCache>
            </c:strRef>
          </c:cat>
          <c:val>
            <c:numRef>
              <c:f>BancoDeDados!$Q$3:$R$3</c:f>
              <c:numCache>
                <c:formatCode>General</c:formatCode>
                <c:ptCount val="2"/>
                <c:pt idx="0">
                  <c:v>4</c:v>
                </c:pt>
                <c:pt idx="1">
                  <c:v>4</c:v>
                </c:pt>
              </c:numCache>
            </c:numRef>
          </c:val>
          <c:extLst>
            <c:ext xmlns:c16="http://schemas.microsoft.com/office/drawing/2014/chart" uri="{C3380CC4-5D6E-409C-BE32-E72D297353CC}">
              <c16:uniqueId val="{00000004-DD60-4BB8-BEA6-E5C02C0A38F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badi" panose="020B0604020104020204" pitchFamily="34"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612-489A-A990-3639B2CCCC20}"/>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612-489A-A990-3639B2CCCC20}"/>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Veloso'!$B$17:$B$18</c:f>
              <c:strCache>
                <c:ptCount val="2"/>
                <c:pt idx="0">
                  <c:v>Sim!</c:v>
                </c:pt>
                <c:pt idx="1">
                  <c:v>Não.</c:v>
                </c:pt>
              </c:strCache>
            </c:strRef>
          </c:cat>
          <c:val>
            <c:numRef>
              <c:f>'Caetano Veloso'!$C$17:$C$18</c:f>
              <c:numCache>
                <c:formatCode>General</c:formatCode>
                <c:ptCount val="2"/>
                <c:pt idx="0">
                  <c:v>6</c:v>
                </c:pt>
                <c:pt idx="1">
                  <c:v>2</c:v>
                </c:pt>
              </c:numCache>
            </c:numRef>
          </c:val>
          <c:extLst>
            <c:ext xmlns:c16="http://schemas.microsoft.com/office/drawing/2014/chart" uri="{C3380CC4-5D6E-409C-BE32-E72D297353CC}">
              <c16:uniqueId val="{00000000-A82F-4C7C-BA14-D230F625CB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3C03-4921-B5F0-7938A195CE6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3C03-4921-B5F0-7938A195CE6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Veloso'!$D$17:$D$18</c:f>
              <c:strCache>
                <c:ptCount val="2"/>
                <c:pt idx="0">
                  <c:v>Sim!</c:v>
                </c:pt>
                <c:pt idx="1">
                  <c:v>Não, porém fiquei curioso. Me diga mais.</c:v>
                </c:pt>
              </c:strCache>
            </c:strRef>
          </c:cat>
          <c:val>
            <c:numRef>
              <c:f>'Caetano Veloso'!$E$17:$E$18</c:f>
              <c:numCache>
                <c:formatCode>General</c:formatCode>
                <c:ptCount val="2"/>
                <c:pt idx="0">
                  <c:v>5</c:v>
                </c:pt>
                <c:pt idx="1">
                  <c:v>3</c:v>
                </c:pt>
              </c:numCache>
            </c:numRef>
          </c:val>
          <c:extLst>
            <c:ext xmlns:c16="http://schemas.microsoft.com/office/drawing/2014/chart" uri="{C3380CC4-5D6E-409C-BE32-E72D297353CC}">
              <c16:uniqueId val="{00000004-3C03-4921-B5F0-7938A195CE6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54F1-4E99-A7FA-D7E70282DDC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54F1-4E99-A7FA-D7E70282DDC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Veloso'!$F$17:$F$18</c:f>
              <c:strCache>
                <c:ptCount val="2"/>
                <c:pt idx="0">
                  <c:v>Sim, eu sei.</c:v>
                </c:pt>
                <c:pt idx="1">
                  <c:v>Não, me conte mais. </c:v>
                </c:pt>
              </c:strCache>
            </c:strRef>
          </c:cat>
          <c:val>
            <c:numRef>
              <c:f>'Caetano Veloso'!$G$17:$G$18</c:f>
              <c:numCache>
                <c:formatCode>General</c:formatCode>
                <c:ptCount val="2"/>
                <c:pt idx="0">
                  <c:v>6</c:v>
                </c:pt>
                <c:pt idx="1">
                  <c:v>2</c:v>
                </c:pt>
              </c:numCache>
            </c:numRef>
          </c:val>
          <c:extLst>
            <c:ext xmlns:c16="http://schemas.microsoft.com/office/drawing/2014/chart" uri="{C3380CC4-5D6E-409C-BE32-E72D297353CC}">
              <c16:uniqueId val="{00000004-54F1-4E99-A7FA-D7E70282DDC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F82-4870-B158-A42207ED47A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F82-4870-B158-A42207ED47A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Veloso'!$B$44:$B$45</c:f>
              <c:strCache>
                <c:ptCount val="2"/>
                <c:pt idx="0">
                  <c:v>Sim!</c:v>
                </c:pt>
                <c:pt idx="1">
                  <c:v>Não.</c:v>
                </c:pt>
              </c:strCache>
            </c:strRef>
          </c:cat>
          <c:val>
            <c:numRef>
              <c:f>'Caetano Veloso'!$C$44:$C$45</c:f>
              <c:numCache>
                <c:formatCode>General</c:formatCode>
                <c:ptCount val="2"/>
                <c:pt idx="0">
                  <c:v>2</c:v>
                </c:pt>
                <c:pt idx="1">
                  <c:v>2</c:v>
                </c:pt>
              </c:numCache>
            </c:numRef>
          </c:val>
          <c:extLst>
            <c:ext xmlns:c16="http://schemas.microsoft.com/office/drawing/2014/chart" uri="{C3380CC4-5D6E-409C-BE32-E72D297353CC}">
              <c16:uniqueId val="{00000004-7F82-4870-B158-A42207ED47A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3B2-4673-8040-7614E11D209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43B2-4673-8040-7614E11D209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Veloso'!$D$44:$D$45</c:f>
              <c:strCache>
                <c:ptCount val="2"/>
                <c:pt idx="0">
                  <c:v>Sim!</c:v>
                </c:pt>
                <c:pt idx="1">
                  <c:v>Não, porém fiquei curioso.</c:v>
                </c:pt>
              </c:strCache>
            </c:strRef>
          </c:cat>
          <c:val>
            <c:numRef>
              <c:f>'Caetano Veloso'!$E$44:$E$45</c:f>
              <c:numCache>
                <c:formatCode>General</c:formatCode>
                <c:ptCount val="2"/>
                <c:pt idx="0">
                  <c:v>2</c:v>
                </c:pt>
                <c:pt idx="1">
                  <c:v>2</c:v>
                </c:pt>
              </c:numCache>
            </c:numRef>
          </c:val>
          <c:extLst>
            <c:ext xmlns:c16="http://schemas.microsoft.com/office/drawing/2014/chart" uri="{C3380CC4-5D6E-409C-BE32-E72D297353CC}">
              <c16:uniqueId val="{00000004-43B2-4673-8040-7614E11D20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1EEF-4645-9500-C46D4DB90F9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1EEF-4645-9500-C46D4DB90F9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Veloso'!$F$44:$F$45</c:f>
              <c:strCache>
                <c:ptCount val="2"/>
                <c:pt idx="0">
                  <c:v>Sim, eu sei.</c:v>
                </c:pt>
                <c:pt idx="1">
                  <c:v>Não, mas quero saber!</c:v>
                </c:pt>
              </c:strCache>
            </c:strRef>
          </c:cat>
          <c:val>
            <c:numRef>
              <c:f>'Caetano Veloso'!$G$44:$G$45</c:f>
              <c:numCache>
                <c:formatCode>General</c:formatCode>
                <c:ptCount val="2"/>
                <c:pt idx="0">
                  <c:v>2</c:v>
                </c:pt>
                <c:pt idx="1">
                  <c:v>2</c:v>
                </c:pt>
              </c:numCache>
            </c:numRef>
          </c:val>
          <c:extLst>
            <c:ext xmlns:c16="http://schemas.microsoft.com/office/drawing/2014/chart" uri="{C3380CC4-5D6E-409C-BE32-E72D297353CC}">
              <c16:uniqueId val="{00000004-1EEF-4645-9500-C46D4DB90F9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521-4703-A54F-D9D2BD9FA89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521-4703-A54F-D9D2BD9FA896}"/>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Veloso'!$B$71:$B$72</c:f>
              <c:strCache>
                <c:ptCount val="2"/>
                <c:pt idx="0">
                  <c:v>Sim!</c:v>
                </c:pt>
                <c:pt idx="1">
                  <c:v>Não.</c:v>
                </c:pt>
              </c:strCache>
            </c:strRef>
          </c:cat>
          <c:val>
            <c:numRef>
              <c:f>'Caetano Veloso'!$C$71:$C$72</c:f>
              <c:numCache>
                <c:formatCode>General</c:formatCode>
                <c:ptCount val="2"/>
                <c:pt idx="0">
                  <c:v>3</c:v>
                </c:pt>
                <c:pt idx="1">
                  <c:v>1</c:v>
                </c:pt>
              </c:numCache>
            </c:numRef>
          </c:val>
          <c:extLst>
            <c:ext xmlns:c16="http://schemas.microsoft.com/office/drawing/2014/chart" uri="{C3380CC4-5D6E-409C-BE32-E72D297353CC}">
              <c16:uniqueId val="{00000004-7521-4703-A54F-D9D2BD9FA89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F1D-49CA-A450-F3EE7A2BA45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F1D-49CA-A450-F3EE7A2BA45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Veloso'!$D$71:$D$72</c:f>
              <c:strCache>
                <c:ptCount val="2"/>
                <c:pt idx="0">
                  <c:v>Sim!</c:v>
                </c:pt>
                <c:pt idx="1">
                  <c:v>Não, porém fiquei curioso.</c:v>
                </c:pt>
              </c:strCache>
            </c:strRef>
          </c:cat>
          <c:val>
            <c:numRef>
              <c:f>'Caetano Veloso'!$E$71:$E$72</c:f>
              <c:numCache>
                <c:formatCode>General</c:formatCode>
                <c:ptCount val="2"/>
                <c:pt idx="0">
                  <c:v>3</c:v>
                </c:pt>
                <c:pt idx="1">
                  <c:v>1</c:v>
                </c:pt>
              </c:numCache>
            </c:numRef>
          </c:val>
          <c:extLst>
            <c:ext xmlns:c16="http://schemas.microsoft.com/office/drawing/2014/chart" uri="{C3380CC4-5D6E-409C-BE32-E72D297353CC}">
              <c16:uniqueId val="{00000004-7F1D-49CA-A450-F3EE7A2BA45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CA7-4AF3-9265-AA74ECDA0B6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CA7-4AF3-9265-AA74ECDA0B6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'Caetano Veloso'!$F$71:$F$72</c:f>
              <c:strCache>
                <c:ptCount val="2"/>
                <c:pt idx="0">
                  <c:v>Sim, eu sei.</c:v>
                </c:pt>
                <c:pt idx="1">
                  <c:v>Não, mas quero saber!</c:v>
                </c:pt>
              </c:strCache>
            </c:strRef>
          </c:cat>
          <c:val>
            <c:numRef>
              <c:f>'Caetano Veloso'!$G$71:$G$72</c:f>
              <c:numCache>
                <c:formatCode>General</c:formatCode>
                <c:ptCount val="2"/>
                <c:pt idx="0">
                  <c:v>3</c:v>
                </c:pt>
                <c:pt idx="1">
                  <c:v>1</c:v>
                </c:pt>
              </c:numCache>
            </c:numRef>
          </c:val>
          <c:extLst>
            <c:ext xmlns:c16="http://schemas.microsoft.com/office/drawing/2014/chart" uri="{C3380CC4-5D6E-409C-BE32-E72D297353CC}">
              <c16:uniqueId val="{00000004-9CA7-4AF3-9265-AA74ECDA0B6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608E-47C3-AE94-C49E7EDB710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608E-47C3-AE94-C49E7EDB710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Reis'!$B$17:$B$18</c:f>
              <c:strCache>
                <c:ptCount val="2"/>
                <c:pt idx="0">
                  <c:v>Sim!</c:v>
                </c:pt>
                <c:pt idx="1">
                  <c:v>Não.</c:v>
                </c:pt>
              </c:strCache>
            </c:strRef>
          </c:cat>
          <c:val>
            <c:numRef>
              <c:f>'Dilermando Reis'!$C$17:$C$18</c:f>
              <c:numCache>
                <c:formatCode>General</c:formatCode>
                <c:ptCount val="2"/>
                <c:pt idx="0">
                  <c:v>3</c:v>
                </c:pt>
                <c:pt idx="1">
                  <c:v>1</c:v>
                </c:pt>
              </c:numCache>
            </c:numRef>
          </c:val>
          <c:extLst>
            <c:ext xmlns:c16="http://schemas.microsoft.com/office/drawing/2014/chart" uri="{C3380CC4-5D6E-409C-BE32-E72D297353CC}">
              <c16:uniqueId val="{00000004-608E-47C3-AE94-C49E7EDB710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04F-40E8-BD10-E891D0F95F72}"/>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04F-40E8-BD10-E891D0F95F7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Reis'!$D$17:$D$18</c:f>
              <c:strCache>
                <c:ptCount val="2"/>
                <c:pt idx="0">
                  <c:v>Sim!</c:v>
                </c:pt>
                <c:pt idx="1">
                  <c:v>Não, porém quero saber o por quê.</c:v>
                </c:pt>
              </c:strCache>
            </c:strRef>
          </c:cat>
          <c:val>
            <c:numRef>
              <c:f>'Dilermando Reis'!$E$17:$E$18</c:f>
              <c:numCache>
                <c:formatCode>General</c:formatCode>
                <c:ptCount val="2"/>
                <c:pt idx="0">
                  <c:v>1</c:v>
                </c:pt>
                <c:pt idx="1">
                  <c:v>3</c:v>
                </c:pt>
              </c:numCache>
            </c:numRef>
          </c:val>
          <c:extLst>
            <c:ext xmlns:c16="http://schemas.microsoft.com/office/drawing/2014/chart" uri="{C3380CC4-5D6E-409C-BE32-E72D297353CC}">
              <c16:uniqueId val="{00000004-704F-40E8-BD10-E891D0F95F7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58CB-47F9-A5BD-510A69F3C998}"/>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58CB-47F9-A5BD-510A69F3C998}"/>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Reis'!$F$17:$F$18</c:f>
              <c:strCache>
                <c:ptCount val="2"/>
                <c:pt idx="0">
                  <c:v>Sim, eu sei!</c:v>
                </c:pt>
                <c:pt idx="1">
                  <c:v>Não, porém achei interessante! Me diga mais sobre.</c:v>
                </c:pt>
              </c:strCache>
            </c:strRef>
          </c:cat>
          <c:val>
            <c:numRef>
              <c:f>'Dilermando Reis'!$G$17:$G$18</c:f>
              <c:numCache>
                <c:formatCode>General</c:formatCode>
                <c:ptCount val="2"/>
                <c:pt idx="0">
                  <c:v>3</c:v>
                </c:pt>
                <c:pt idx="1">
                  <c:v>1</c:v>
                </c:pt>
              </c:numCache>
            </c:numRef>
          </c:val>
          <c:extLst>
            <c:ext xmlns:c16="http://schemas.microsoft.com/office/drawing/2014/chart" uri="{C3380CC4-5D6E-409C-BE32-E72D297353CC}">
              <c16:uniqueId val="{00000004-58CB-47F9-A5BD-510A69F3C99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069F-4D43-86DD-56FB6179DB1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069F-4D43-86DD-56FB6179DB1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Reis'!$B$44:$B$45</c:f>
              <c:strCache>
                <c:ptCount val="2"/>
                <c:pt idx="0">
                  <c:v>Sim!</c:v>
                </c:pt>
                <c:pt idx="1">
                  <c:v>Não, mas me conte mais.</c:v>
                </c:pt>
              </c:strCache>
            </c:strRef>
          </c:cat>
          <c:val>
            <c:numRef>
              <c:f>'Dilermando Reis'!$C$44:$C$45</c:f>
              <c:numCache>
                <c:formatCode>General</c:formatCode>
                <c:ptCount val="2"/>
                <c:pt idx="0">
                  <c:v>1</c:v>
                </c:pt>
                <c:pt idx="1">
                  <c:v>0</c:v>
                </c:pt>
              </c:numCache>
            </c:numRef>
          </c:val>
          <c:extLst>
            <c:ext xmlns:c16="http://schemas.microsoft.com/office/drawing/2014/chart" uri="{C3380CC4-5D6E-409C-BE32-E72D297353CC}">
              <c16:uniqueId val="{00000004-069F-4D43-86DD-56FB6179DB1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098-4231-8740-9B96EA7EB43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098-4231-8740-9B96EA7EB436}"/>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Reis'!$D$44:$D$45</c:f>
              <c:strCache>
                <c:ptCount val="2"/>
                <c:pt idx="0">
                  <c:v>Sim!</c:v>
                </c:pt>
                <c:pt idx="1">
                  <c:v>Não, mas me conte o por quê.</c:v>
                </c:pt>
              </c:strCache>
            </c:strRef>
          </c:cat>
          <c:val>
            <c:numRef>
              <c:f>'Dilermando Reis'!$E$44:$E$45</c:f>
              <c:numCache>
                <c:formatCode>General</c:formatCode>
                <c:ptCount val="2"/>
                <c:pt idx="0">
                  <c:v>1</c:v>
                </c:pt>
                <c:pt idx="1">
                  <c:v>0</c:v>
                </c:pt>
              </c:numCache>
            </c:numRef>
          </c:val>
          <c:extLst>
            <c:ext xmlns:c16="http://schemas.microsoft.com/office/drawing/2014/chart" uri="{C3380CC4-5D6E-409C-BE32-E72D297353CC}">
              <c16:uniqueId val="{00000004-F098-4231-8740-9B96EA7EB43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CD6-42D2-839E-2C394D7DE75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CCD6-42D2-839E-2C394D7DE756}"/>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Reis'!$F$44:$F$45</c:f>
              <c:strCache>
                <c:ptCount val="2"/>
                <c:pt idx="0">
                  <c:v>Sim, eu sei!</c:v>
                </c:pt>
                <c:pt idx="1">
                  <c:v>Não, porém achei interessante! Me diga mais sobre.</c:v>
                </c:pt>
              </c:strCache>
            </c:strRef>
          </c:cat>
          <c:val>
            <c:numRef>
              <c:f>'Dilermando Reis'!$G$44:$G$45</c:f>
              <c:numCache>
                <c:formatCode>General</c:formatCode>
                <c:ptCount val="2"/>
                <c:pt idx="0">
                  <c:v>1</c:v>
                </c:pt>
                <c:pt idx="1">
                  <c:v>0</c:v>
                </c:pt>
              </c:numCache>
            </c:numRef>
          </c:val>
          <c:extLst>
            <c:ext xmlns:c16="http://schemas.microsoft.com/office/drawing/2014/chart" uri="{C3380CC4-5D6E-409C-BE32-E72D297353CC}">
              <c16:uniqueId val="{00000004-CCD6-42D2-839E-2C394D7DE75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EFF-45B5-9252-62982B17455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4EFF-45B5-9252-62982B17455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Reis'!$B$71:$B$72</c:f>
              <c:strCache>
                <c:ptCount val="2"/>
                <c:pt idx="0">
                  <c:v>Sim!</c:v>
                </c:pt>
                <c:pt idx="1">
                  <c:v>Não.</c:v>
                </c:pt>
              </c:strCache>
            </c:strRef>
          </c:cat>
          <c:val>
            <c:numRef>
              <c:f>'Dilermando Reis'!$C$71:$C$72</c:f>
              <c:numCache>
                <c:formatCode>General</c:formatCode>
                <c:ptCount val="2"/>
                <c:pt idx="0">
                  <c:v>3</c:v>
                </c:pt>
                <c:pt idx="1">
                  <c:v>0</c:v>
                </c:pt>
              </c:numCache>
            </c:numRef>
          </c:val>
          <c:extLst>
            <c:ext xmlns:c16="http://schemas.microsoft.com/office/drawing/2014/chart" uri="{C3380CC4-5D6E-409C-BE32-E72D297353CC}">
              <c16:uniqueId val="{00000004-4EFF-45B5-9252-62982B17455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D37-40D3-952D-FA00CC30026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D37-40D3-952D-FA00CC30026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Reis'!$D$71:$D$72</c:f>
              <c:strCache>
                <c:ptCount val="2"/>
                <c:pt idx="0">
                  <c:v>Sim!</c:v>
                </c:pt>
                <c:pt idx="1">
                  <c:v>Não, porém quero saber o por quê.</c:v>
                </c:pt>
              </c:strCache>
            </c:strRef>
          </c:cat>
          <c:val>
            <c:numRef>
              <c:f>'Dilermando Reis'!$E$71:$E$72</c:f>
              <c:numCache>
                <c:formatCode>General</c:formatCode>
                <c:ptCount val="2"/>
                <c:pt idx="0">
                  <c:v>2</c:v>
                </c:pt>
                <c:pt idx="1">
                  <c:v>1</c:v>
                </c:pt>
              </c:numCache>
            </c:numRef>
          </c:val>
          <c:extLst>
            <c:ext xmlns:c16="http://schemas.microsoft.com/office/drawing/2014/chart" uri="{C3380CC4-5D6E-409C-BE32-E72D297353CC}">
              <c16:uniqueId val="{00000004-FD37-40D3-952D-FA00CC30026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2244-4D63-8A11-2FEA31A5C5A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2244-4D63-8A11-2FEA31A5C5A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'Dilermando Reis'!$F$71:$F$72</c:f>
              <c:strCache>
                <c:ptCount val="2"/>
                <c:pt idx="0">
                  <c:v>Sim, eu sei.</c:v>
                </c:pt>
                <c:pt idx="1">
                  <c:v>Não, mas quero saber!</c:v>
                </c:pt>
              </c:strCache>
            </c:strRef>
          </c:cat>
          <c:val>
            <c:numRef>
              <c:f>'Dilermando Reis'!$G$71:$G$72</c:f>
              <c:numCache>
                <c:formatCode>General</c:formatCode>
                <c:ptCount val="2"/>
                <c:pt idx="0">
                  <c:v>2</c:v>
                </c:pt>
                <c:pt idx="1">
                  <c:v>1</c:v>
                </c:pt>
              </c:numCache>
            </c:numRef>
          </c:val>
          <c:extLst>
            <c:ext xmlns:c16="http://schemas.microsoft.com/office/drawing/2014/chart" uri="{C3380CC4-5D6E-409C-BE32-E72D297353CC}">
              <c16:uniqueId val="{00000004-2244-4D63-8A11-2FEA31A5C5A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615-4591-A248-1CE9E0F3998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615-4591-A248-1CE9E0F3998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Nazareth'!$B$17:$B$18</c:f>
              <c:strCache>
                <c:ptCount val="2"/>
                <c:pt idx="0">
                  <c:v>Sim!</c:v>
                </c:pt>
                <c:pt idx="1">
                  <c:v>Não.</c:v>
                </c:pt>
              </c:strCache>
            </c:strRef>
          </c:cat>
          <c:val>
            <c:numRef>
              <c:f>'Ernesto Nazareth'!$C$17:$C$18</c:f>
              <c:numCache>
                <c:formatCode>General</c:formatCode>
                <c:ptCount val="2"/>
                <c:pt idx="0">
                  <c:v>5</c:v>
                </c:pt>
                <c:pt idx="1">
                  <c:v>3</c:v>
                </c:pt>
              </c:numCache>
            </c:numRef>
          </c:val>
          <c:extLst>
            <c:ext xmlns:c16="http://schemas.microsoft.com/office/drawing/2014/chart" uri="{C3380CC4-5D6E-409C-BE32-E72D297353CC}">
              <c16:uniqueId val="{00000004-F615-4591-A248-1CE9E0F3998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8994-40A6-8520-68BBA2D6A06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8994-40A6-8520-68BBA2D6A06B}"/>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Nazareth'!$D$17:$D$18</c:f>
              <c:strCache>
                <c:ptCount val="2"/>
                <c:pt idx="0">
                  <c:v>Sim!</c:v>
                </c:pt>
                <c:pt idx="1">
                  <c:v>Não, me diga mais. </c:v>
                </c:pt>
              </c:strCache>
            </c:strRef>
          </c:cat>
          <c:val>
            <c:numRef>
              <c:f>'Ernesto Nazareth'!$E$17:$E$18</c:f>
              <c:numCache>
                <c:formatCode>General</c:formatCode>
                <c:ptCount val="2"/>
                <c:pt idx="0">
                  <c:v>3</c:v>
                </c:pt>
                <c:pt idx="1">
                  <c:v>5</c:v>
                </c:pt>
              </c:numCache>
            </c:numRef>
          </c:val>
          <c:extLst>
            <c:ext xmlns:c16="http://schemas.microsoft.com/office/drawing/2014/chart" uri="{C3380CC4-5D6E-409C-BE32-E72D297353CC}">
              <c16:uniqueId val="{00000004-8994-40A6-8520-68BBA2D6A06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B923-4EB5-BF95-3DDEADFC7CA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B923-4EB5-BF95-3DDEADFC7CA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Nazareth'!$F$17:$F$18</c:f>
              <c:strCache>
                <c:ptCount val="2"/>
                <c:pt idx="0">
                  <c:v>Sim, eu sei.</c:v>
                </c:pt>
                <c:pt idx="1">
                  <c:v>Não, me conte mais.</c:v>
                </c:pt>
              </c:strCache>
            </c:strRef>
          </c:cat>
          <c:val>
            <c:numRef>
              <c:f>'Ernesto Nazareth'!$G$17:$G$18</c:f>
              <c:numCache>
                <c:formatCode>General</c:formatCode>
                <c:ptCount val="2"/>
                <c:pt idx="0">
                  <c:v>2</c:v>
                </c:pt>
                <c:pt idx="1">
                  <c:v>6</c:v>
                </c:pt>
              </c:numCache>
            </c:numRef>
          </c:val>
          <c:extLst>
            <c:ext xmlns:c16="http://schemas.microsoft.com/office/drawing/2014/chart" uri="{C3380CC4-5D6E-409C-BE32-E72D297353CC}">
              <c16:uniqueId val="{00000004-B923-4EB5-BF95-3DDEADFC7CA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2579-49B2-95E3-F3A88D0D488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2579-49B2-95E3-F3A88D0D488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Nazareth'!$B$44:$B$45</c:f>
              <c:strCache>
                <c:ptCount val="2"/>
                <c:pt idx="0">
                  <c:v>Sim!</c:v>
                </c:pt>
                <c:pt idx="1">
                  <c:v>Não.</c:v>
                </c:pt>
              </c:strCache>
            </c:strRef>
          </c:cat>
          <c:val>
            <c:numRef>
              <c:f>'Ernesto Nazareth'!$C$44:$C$45</c:f>
              <c:numCache>
                <c:formatCode>General</c:formatCode>
                <c:ptCount val="2"/>
                <c:pt idx="0">
                  <c:v>4</c:v>
                </c:pt>
                <c:pt idx="1">
                  <c:v>2</c:v>
                </c:pt>
              </c:numCache>
            </c:numRef>
          </c:val>
          <c:extLst>
            <c:ext xmlns:c16="http://schemas.microsoft.com/office/drawing/2014/chart" uri="{C3380CC4-5D6E-409C-BE32-E72D297353CC}">
              <c16:uniqueId val="{00000004-2579-49B2-95E3-F3A88D0D488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F75-4DB5-B763-235C71B7735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F75-4DB5-B763-235C71B7735B}"/>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Nazareth'!$D$44:$D$45</c:f>
              <c:strCache>
                <c:ptCount val="2"/>
                <c:pt idx="0">
                  <c:v>Sim!</c:v>
                </c:pt>
                <c:pt idx="1">
                  <c:v>Não, me diga mais. </c:v>
                </c:pt>
              </c:strCache>
            </c:strRef>
          </c:cat>
          <c:val>
            <c:numRef>
              <c:f>'Ernesto Nazareth'!$E$44:$E$45</c:f>
              <c:numCache>
                <c:formatCode>General</c:formatCode>
                <c:ptCount val="2"/>
                <c:pt idx="0">
                  <c:v>5</c:v>
                </c:pt>
                <c:pt idx="1">
                  <c:v>1</c:v>
                </c:pt>
              </c:numCache>
            </c:numRef>
          </c:val>
          <c:extLst>
            <c:ext xmlns:c16="http://schemas.microsoft.com/office/drawing/2014/chart" uri="{C3380CC4-5D6E-409C-BE32-E72D297353CC}">
              <c16:uniqueId val="{00000004-9F75-4DB5-B763-235C71B7735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3AFB-4A74-BA71-28BA3500316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3AFB-4A74-BA71-28BA3500316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Nazareth'!$F$44:$F$45</c:f>
              <c:strCache>
                <c:ptCount val="2"/>
                <c:pt idx="0">
                  <c:v>Sim, eu sei.</c:v>
                </c:pt>
                <c:pt idx="1">
                  <c:v>Não, me conte mais.</c:v>
                </c:pt>
              </c:strCache>
            </c:strRef>
          </c:cat>
          <c:val>
            <c:numRef>
              <c:f>'Ernesto Nazareth'!$G$44:$G$45</c:f>
              <c:numCache>
                <c:formatCode>General</c:formatCode>
                <c:ptCount val="2"/>
                <c:pt idx="0">
                  <c:v>4</c:v>
                </c:pt>
                <c:pt idx="1">
                  <c:v>2</c:v>
                </c:pt>
              </c:numCache>
            </c:numRef>
          </c:val>
          <c:extLst>
            <c:ext xmlns:c16="http://schemas.microsoft.com/office/drawing/2014/chart" uri="{C3380CC4-5D6E-409C-BE32-E72D297353CC}">
              <c16:uniqueId val="{00000004-3AFB-4A74-BA71-28BA3500316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CBE-411B-9473-9070745E78BA}"/>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CBE-411B-9473-9070745E78BA}"/>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Nazareth'!$B$71:$B$72</c:f>
              <c:strCache>
                <c:ptCount val="2"/>
                <c:pt idx="0">
                  <c:v>Sim!</c:v>
                </c:pt>
                <c:pt idx="1">
                  <c:v>Não.</c:v>
                </c:pt>
              </c:strCache>
            </c:strRef>
          </c:cat>
          <c:val>
            <c:numRef>
              <c:f>'Ernesto Nazareth'!$C$71:$C$72</c:f>
              <c:numCache>
                <c:formatCode>General</c:formatCode>
                <c:ptCount val="2"/>
                <c:pt idx="0">
                  <c:v>4</c:v>
                </c:pt>
                <c:pt idx="1">
                  <c:v>0</c:v>
                </c:pt>
              </c:numCache>
            </c:numRef>
          </c:val>
          <c:extLst>
            <c:ext xmlns:c16="http://schemas.microsoft.com/office/drawing/2014/chart" uri="{C3380CC4-5D6E-409C-BE32-E72D297353CC}">
              <c16:uniqueId val="{00000004-9CBE-411B-9473-9070745E78B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7A2D-42A3-BC26-3CCABF2ED5C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7A2D-42A3-BC26-3CCABF2ED5C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Nazareth'!$D$71:$D$72</c:f>
              <c:strCache>
                <c:ptCount val="2"/>
                <c:pt idx="0">
                  <c:v>Sim!</c:v>
                </c:pt>
                <c:pt idx="1">
                  <c:v>Não, me diga mais. </c:v>
                </c:pt>
              </c:strCache>
            </c:strRef>
          </c:cat>
          <c:val>
            <c:numRef>
              <c:f>'Ernesto Nazareth'!$E$71:$E$72</c:f>
              <c:numCache>
                <c:formatCode>General</c:formatCode>
                <c:ptCount val="2"/>
                <c:pt idx="0">
                  <c:v>3</c:v>
                </c:pt>
                <c:pt idx="1">
                  <c:v>1</c:v>
                </c:pt>
              </c:numCache>
            </c:numRef>
          </c:val>
          <c:extLst>
            <c:ext xmlns:c16="http://schemas.microsoft.com/office/drawing/2014/chart" uri="{C3380CC4-5D6E-409C-BE32-E72D297353CC}">
              <c16:uniqueId val="{00000004-7A2D-42A3-BC26-3CCABF2ED5C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5720-481D-BDA9-B6AA4256C9C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5720-481D-BDA9-B6AA4256C9C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'Ernesto Nazareth'!$F$71:$F$72</c:f>
              <c:strCache>
                <c:ptCount val="2"/>
                <c:pt idx="0">
                  <c:v>Sim, eu sei.</c:v>
                </c:pt>
                <c:pt idx="1">
                  <c:v>Não, me conte mais.</c:v>
                </c:pt>
              </c:strCache>
            </c:strRef>
          </c:cat>
          <c:val>
            <c:numRef>
              <c:f>'Ernesto Nazareth'!$G$71:$G$72</c:f>
              <c:numCache>
                <c:formatCode>General</c:formatCode>
                <c:ptCount val="2"/>
                <c:pt idx="0">
                  <c:v>3</c:v>
                </c:pt>
                <c:pt idx="1">
                  <c:v>1</c:v>
                </c:pt>
              </c:numCache>
            </c:numRef>
          </c:val>
          <c:extLst>
            <c:ext xmlns:c16="http://schemas.microsoft.com/office/drawing/2014/chart" uri="{C3380CC4-5D6E-409C-BE32-E72D297353CC}">
              <c16:uniqueId val="{00000004-5720-481D-BDA9-B6AA4256C9C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1603-469C-A73E-AAC6099CF140}"/>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1603-469C-A73E-AAC6099CF140}"/>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Villa-Lobos'!$B$17:$B$18</c:f>
              <c:strCache>
                <c:ptCount val="2"/>
                <c:pt idx="0">
                  <c:v>Sim!</c:v>
                </c:pt>
                <c:pt idx="1">
                  <c:v>Não.</c:v>
                </c:pt>
              </c:strCache>
            </c:strRef>
          </c:cat>
          <c:val>
            <c:numRef>
              <c:f>'Heitor Villa-Lobos'!$C$17:$C$18</c:f>
              <c:numCache>
                <c:formatCode>General</c:formatCode>
                <c:ptCount val="2"/>
                <c:pt idx="0">
                  <c:v>1</c:v>
                </c:pt>
                <c:pt idx="1">
                  <c:v>0</c:v>
                </c:pt>
              </c:numCache>
            </c:numRef>
          </c:val>
          <c:extLst>
            <c:ext xmlns:c16="http://schemas.microsoft.com/office/drawing/2014/chart" uri="{C3380CC4-5D6E-409C-BE32-E72D297353CC}">
              <c16:uniqueId val="{00000004-1603-469C-A73E-AAC6099CF14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322-4D72-B265-2E6B640EBCA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322-4D72-B265-2E6B640EBCAB}"/>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Villa-Lobos'!$D$17:$D$18</c:f>
              <c:strCache>
                <c:ptCount val="2"/>
                <c:pt idx="0">
                  <c:v>Sim!</c:v>
                </c:pt>
                <c:pt idx="1">
                  <c:v>Não, porém quero saber o por quê.</c:v>
                </c:pt>
              </c:strCache>
            </c:strRef>
          </c:cat>
          <c:val>
            <c:numRef>
              <c:f>'Heitor Villa-Lobos'!$E$17:$E$18</c:f>
              <c:numCache>
                <c:formatCode>General</c:formatCode>
                <c:ptCount val="2"/>
                <c:pt idx="0">
                  <c:v>1</c:v>
                </c:pt>
                <c:pt idx="1">
                  <c:v>0</c:v>
                </c:pt>
              </c:numCache>
            </c:numRef>
          </c:val>
          <c:extLst>
            <c:ext xmlns:c16="http://schemas.microsoft.com/office/drawing/2014/chart" uri="{C3380CC4-5D6E-409C-BE32-E72D297353CC}">
              <c16:uniqueId val="{00000004-F322-4D72-B265-2E6B640EBCA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E49-4371-BA8F-507F2219180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E49-4371-BA8F-507F2219180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Villa-Lobos'!$F$17:$F$18</c:f>
              <c:strCache>
                <c:ptCount val="2"/>
                <c:pt idx="0">
                  <c:v>Sim, eu sei.</c:v>
                </c:pt>
                <c:pt idx="1">
                  <c:v>Não, mas quero saber!</c:v>
                </c:pt>
              </c:strCache>
            </c:strRef>
          </c:cat>
          <c:val>
            <c:numRef>
              <c:f>'Heitor Villa-Lobos'!$G$17:$G$18</c:f>
              <c:numCache>
                <c:formatCode>General</c:formatCode>
                <c:ptCount val="2"/>
                <c:pt idx="0">
                  <c:v>1</c:v>
                </c:pt>
                <c:pt idx="1">
                  <c:v>0</c:v>
                </c:pt>
              </c:numCache>
            </c:numRef>
          </c:val>
          <c:extLst>
            <c:ext xmlns:c16="http://schemas.microsoft.com/office/drawing/2014/chart" uri="{C3380CC4-5D6E-409C-BE32-E72D297353CC}">
              <c16:uniqueId val="{00000004-FE49-4371-BA8F-507F2219180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3A9-4BAB-BC72-506E5714E7E4}"/>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C3A9-4BAB-BC72-506E5714E7E4}"/>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Villa-Lobos'!$B$44:$B$45</c:f>
              <c:strCache>
                <c:ptCount val="2"/>
                <c:pt idx="0">
                  <c:v>Sim!</c:v>
                </c:pt>
                <c:pt idx="1">
                  <c:v>Não.</c:v>
                </c:pt>
              </c:strCache>
            </c:strRef>
          </c:cat>
          <c:val>
            <c:numRef>
              <c:f>'Heitor Villa-Lobos'!$C$44:$C$45</c:f>
              <c:numCache>
                <c:formatCode>General</c:formatCode>
                <c:ptCount val="2"/>
                <c:pt idx="0">
                  <c:v>0</c:v>
                </c:pt>
                <c:pt idx="1">
                  <c:v>1</c:v>
                </c:pt>
              </c:numCache>
            </c:numRef>
          </c:val>
          <c:extLst>
            <c:ext xmlns:c16="http://schemas.microsoft.com/office/drawing/2014/chart" uri="{C3380CC4-5D6E-409C-BE32-E72D297353CC}">
              <c16:uniqueId val="{00000004-C3A9-4BAB-BC72-506E5714E7E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6735-4504-89DA-3F5AE0FC7C9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6735-4504-89DA-3F5AE0FC7C9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Villa-Lobos'!$D$44:$D$45</c:f>
              <c:strCache>
                <c:ptCount val="2"/>
                <c:pt idx="0">
                  <c:v>Sim!</c:v>
                </c:pt>
                <c:pt idx="1">
                  <c:v>Não, porém fiquei curioso.</c:v>
                </c:pt>
              </c:strCache>
            </c:strRef>
          </c:cat>
          <c:val>
            <c:numRef>
              <c:f>'Heitor Villa-Lobos'!$E$44:$E$45</c:f>
              <c:numCache>
                <c:formatCode>General</c:formatCode>
                <c:ptCount val="2"/>
                <c:pt idx="0">
                  <c:v>0</c:v>
                </c:pt>
                <c:pt idx="1">
                  <c:v>1</c:v>
                </c:pt>
              </c:numCache>
            </c:numRef>
          </c:val>
          <c:extLst>
            <c:ext xmlns:c16="http://schemas.microsoft.com/office/drawing/2014/chart" uri="{C3380CC4-5D6E-409C-BE32-E72D297353CC}">
              <c16:uniqueId val="{00000004-6735-4504-89DA-3F5AE0FC7C9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E99-4D62-8583-E6BA7179C8B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E99-4D62-8583-E6BA7179C8B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Villa-Lobos'!$F$44:$F$45</c:f>
              <c:strCache>
                <c:ptCount val="2"/>
                <c:pt idx="0">
                  <c:v>Sim, eu sei.</c:v>
                </c:pt>
                <c:pt idx="1">
                  <c:v>Não, mas quero saber!</c:v>
                </c:pt>
              </c:strCache>
            </c:strRef>
          </c:cat>
          <c:val>
            <c:numRef>
              <c:f>'Heitor Villa-Lobos'!$G$44:$G$45</c:f>
              <c:numCache>
                <c:formatCode>General</c:formatCode>
                <c:ptCount val="2"/>
                <c:pt idx="0">
                  <c:v>0</c:v>
                </c:pt>
                <c:pt idx="1">
                  <c:v>1</c:v>
                </c:pt>
              </c:numCache>
            </c:numRef>
          </c:val>
          <c:extLst>
            <c:ext xmlns:c16="http://schemas.microsoft.com/office/drawing/2014/chart" uri="{C3380CC4-5D6E-409C-BE32-E72D297353CC}">
              <c16:uniqueId val="{00000004-AE99-4D62-8583-E6BA7179C8B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314A-448A-B39F-AB169FA66C8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314A-448A-B39F-AB169FA66C8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Villa-Lobos'!$B$71:$B$72</c:f>
              <c:strCache>
                <c:ptCount val="2"/>
                <c:pt idx="0">
                  <c:v>Sim!</c:v>
                </c:pt>
                <c:pt idx="1">
                  <c:v>Não.</c:v>
                </c:pt>
              </c:strCache>
            </c:strRef>
          </c:cat>
          <c:val>
            <c:numRef>
              <c:f>'Heitor Villa-Lobos'!$C$71:$C$72</c:f>
              <c:numCache>
                <c:formatCode>General</c:formatCode>
                <c:ptCount val="2"/>
                <c:pt idx="0">
                  <c:v>1</c:v>
                </c:pt>
                <c:pt idx="1">
                  <c:v>0</c:v>
                </c:pt>
              </c:numCache>
            </c:numRef>
          </c:val>
          <c:extLst>
            <c:ext xmlns:c16="http://schemas.microsoft.com/office/drawing/2014/chart" uri="{C3380CC4-5D6E-409C-BE32-E72D297353CC}">
              <c16:uniqueId val="{00000004-314A-448A-B39F-AB169FA66C8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EF01-47D4-B984-5597B42DA831}"/>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F01-47D4-B984-5597B42DA831}"/>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Villa-Lobos'!$D$71:$D$72</c:f>
              <c:strCache>
                <c:ptCount val="2"/>
                <c:pt idx="0">
                  <c:v>Sim!</c:v>
                </c:pt>
                <c:pt idx="1">
                  <c:v>Não, porém fiquei curioso.</c:v>
                </c:pt>
              </c:strCache>
            </c:strRef>
          </c:cat>
          <c:val>
            <c:numRef>
              <c:f>'Heitor Villa-Lobos'!$E$71:$E$72</c:f>
              <c:numCache>
                <c:formatCode>General</c:formatCode>
                <c:ptCount val="2"/>
                <c:pt idx="0">
                  <c:v>1</c:v>
                </c:pt>
                <c:pt idx="1">
                  <c:v>0</c:v>
                </c:pt>
              </c:numCache>
            </c:numRef>
          </c:val>
          <c:extLst>
            <c:ext xmlns:c16="http://schemas.microsoft.com/office/drawing/2014/chart" uri="{C3380CC4-5D6E-409C-BE32-E72D297353CC}">
              <c16:uniqueId val="{00000004-EF01-47D4-B984-5597B42DA83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9EC3-4FEC-A722-CF812DAFA02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9EC3-4FEC-A722-CF812DAFA02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'Heitor Villa-Lobos'!$F$71:$F$72</c:f>
              <c:strCache>
                <c:ptCount val="2"/>
                <c:pt idx="0">
                  <c:v>Sim, eu sei.</c:v>
                </c:pt>
                <c:pt idx="1">
                  <c:v>Não, mas quero saber!</c:v>
                </c:pt>
              </c:strCache>
            </c:strRef>
          </c:cat>
          <c:val>
            <c:numRef>
              <c:f>'Heitor Villa-Lobos'!$G$71:$G$72</c:f>
              <c:numCache>
                <c:formatCode>General</c:formatCode>
                <c:ptCount val="2"/>
                <c:pt idx="0">
                  <c:v>1</c:v>
                </c:pt>
                <c:pt idx="1">
                  <c:v>0</c:v>
                </c:pt>
              </c:numCache>
            </c:numRef>
          </c:val>
          <c:extLst>
            <c:ext xmlns:c16="http://schemas.microsoft.com/office/drawing/2014/chart" uri="{C3380CC4-5D6E-409C-BE32-E72D297353CC}">
              <c16:uniqueId val="{00000004-9EC3-4FEC-A722-CF812DAFA02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96C-48E3-B1EE-5A9BD304B37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96C-48E3-B1EE-5A9BD304B37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Jobim'!$B$17:$B$18</c:f>
              <c:strCache>
                <c:ptCount val="2"/>
                <c:pt idx="0">
                  <c:v>Sim!</c:v>
                </c:pt>
                <c:pt idx="1">
                  <c:v>Não.</c:v>
                </c:pt>
              </c:strCache>
            </c:strRef>
          </c:cat>
          <c:val>
            <c:numRef>
              <c:f>'Tom Jobim'!$C$17:$C$18</c:f>
              <c:numCache>
                <c:formatCode>General</c:formatCode>
                <c:ptCount val="2"/>
                <c:pt idx="0">
                  <c:v>2</c:v>
                </c:pt>
                <c:pt idx="1">
                  <c:v>2</c:v>
                </c:pt>
              </c:numCache>
            </c:numRef>
          </c:val>
          <c:extLst>
            <c:ext xmlns:c16="http://schemas.microsoft.com/office/drawing/2014/chart" uri="{C3380CC4-5D6E-409C-BE32-E72D297353CC}">
              <c16:uniqueId val="{00000004-A96C-48E3-B1EE-5A9BD304B37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CEFF-47ED-86FB-9869038FE54A}"/>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CEFF-47ED-86FB-9869038FE54A}"/>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Jobim'!$D$17:$D$18</c:f>
              <c:strCache>
                <c:ptCount val="2"/>
                <c:pt idx="0">
                  <c:v>Sim!</c:v>
                </c:pt>
                <c:pt idx="1">
                  <c:v>Não, me diga mais. </c:v>
                </c:pt>
              </c:strCache>
            </c:strRef>
          </c:cat>
          <c:val>
            <c:numRef>
              <c:f>'Tom Jobim'!$E$17:$E$18</c:f>
              <c:numCache>
                <c:formatCode>General</c:formatCode>
                <c:ptCount val="2"/>
                <c:pt idx="0">
                  <c:v>2</c:v>
                </c:pt>
                <c:pt idx="1">
                  <c:v>2</c:v>
                </c:pt>
              </c:numCache>
            </c:numRef>
          </c:val>
          <c:extLst>
            <c:ext xmlns:c16="http://schemas.microsoft.com/office/drawing/2014/chart" uri="{C3380CC4-5D6E-409C-BE32-E72D297353CC}">
              <c16:uniqueId val="{00000004-CEFF-47ED-86FB-9869038FE54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ED89-4C82-A50D-168EB70CB1F2}"/>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D89-4C82-A50D-168EB70CB1F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Jobim'!$F$17:$F$18</c:f>
              <c:strCache>
                <c:ptCount val="2"/>
                <c:pt idx="0">
                  <c:v>Sim, eu sei.</c:v>
                </c:pt>
                <c:pt idx="1">
                  <c:v>Não, me conte mais.</c:v>
                </c:pt>
              </c:strCache>
            </c:strRef>
          </c:cat>
          <c:val>
            <c:numRef>
              <c:f>'Tom Jobim'!$G$17:$G$18</c:f>
              <c:numCache>
                <c:formatCode>General</c:formatCode>
                <c:ptCount val="2"/>
                <c:pt idx="0">
                  <c:v>1</c:v>
                </c:pt>
                <c:pt idx="1">
                  <c:v>3</c:v>
                </c:pt>
              </c:numCache>
            </c:numRef>
          </c:val>
          <c:extLst>
            <c:ext xmlns:c16="http://schemas.microsoft.com/office/drawing/2014/chart" uri="{C3380CC4-5D6E-409C-BE32-E72D297353CC}">
              <c16:uniqueId val="{00000004-ED89-4C82-A50D-168EB70CB1F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EA8E-4D36-91F1-7ACD918891EF}"/>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A8E-4D36-91F1-7ACD918891EF}"/>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Jobim'!$B$44:$B$45</c:f>
              <c:strCache>
                <c:ptCount val="2"/>
                <c:pt idx="0">
                  <c:v>Sim!</c:v>
                </c:pt>
                <c:pt idx="1">
                  <c:v>Não.</c:v>
                </c:pt>
              </c:strCache>
            </c:strRef>
          </c:cat>
          <c:val>
            <c:numRef>
              <c:f>'Tom Jobim'!$C$44:$C$45</c:f>
              <c:numCache>
                <c:formatCode>General</c:formatCode>
                <c:ptCount val="2"/>
                <c:pt idx="0">
                  <c:v>4</c:v>
                </c:pt>
                <c:pt idx="1">
                  <c:v>2</c:v>
                </c:pt>
              </c:numCache>
            </c:numRef>
          </c:val>
          <c:extLst>
            <c:ext xmlns:c16="http://schemas.microsoft.com/office/drawing/2014/chart" uri="{C3380CC4-5D6E-409C-BE32-E72D297353CC}">
              <c16:uniqueId val="{00000004-EA8E-4D36-91F1-7ACD918891E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839-4516-B49B-13D928F05617}"/>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839-4516-B49B-13D928F0561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Jobim'!$D$44:$D$45</c:f>
              <c:strCache>
                <c:ptCount val="2"/>
                <c:pt idx="0">
                  <c:v>Sim!</c:v>
                </c:pt>
                <c:pt idx="1">
                  <c:v>Não, me diga mais. </c:v>
                </c:pt>
              </c:strCache>
            </c:strRef>
          </c:cat>
          <c:val>
            <c:numRef>
              <c:f>'Tom Jobim'!$E$44:$E$45</c:f>
              <c:numCache>
                <c:formatCode>General</c:formatCode>
                <c:ptCount val="2"/>
                <c:pt idx="0">
                  <c:v>4</c:v>
                </c:pt>
                <c:pt idx="1">
                  <c:v>2</c:v>
                </c:pt>
              </c:numCache>
            </c:numRef>
          </c:val>
          <c:extLst>
            <c:ext xmlns:c16="http://schemas.microsoft.com/office/drawing/2014/chart" uri="{C3380CC4-5D6E-409C-BE32-E72D297353CC}">
              <c16:uniqueId val="{00000004-A839-4516-B49B-13D928F0561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E5C-4206-8687-2DF727EC897D}"/>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E5C-4206-8687-2DF727EC897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Jobim'!$F$44:$F$45</c:f>
              <c:strCache>
                <c:ptCount val="2"/>
                <c:pt idx="0">
                  <c:v>Sim, eu sei.</c:v>
                </c:pt>
                <c:pt idx="1">
                  <c:v>Não, me conte mais.</c:v>
                </c:pt>
              </c:strCache>
            </c:strRef>
          </c:cat>
          <c:val>
            <c:numRef>
              <c:f>'Tom Jobim'!$G$44:$G$45</c:f>
              <c:numCache>
                <c:formatCode>General</c:formatCode>
                <c:ptCount val="2"/>
                <c:pt idx="0">
                  <c:v>4</c:v>
                </c:pt>
                <c:pt idx="1">
                  <c:v>2</c:v>
                </c:pt>
              </c:numCache>
            </c:numRef>
          </c:val>
          <c:extLst>
            <c:ext xmlns:c16="http://schemas.microsoft.com/office/drawing/2014/chart" uri="{C3380CC4-5D6E-409C-BE32-E72D297353CC}">
              <c16:uniqueId val="{00000004-AE5C-4206-8687-2DF727EC897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970518220106206E-2"/>
          <c:y val="0.14386484787993051"/>
          <c:w val="0.6159440883843007"/>
          <c:h val="0.74607312114154734"/>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62F-4B20-B8D2-ECBE67227C88}"/>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62F-4B20-B8D2-ECBE67227C88}"/>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Jobim'!$B$71:$B$72</c:f>
              <c:strCache>
                <c:ptCount val="2"/>
                <c:pt idx="0">
                  <c:v>Sim!</c:v>
                </c:pt>
                <c:pt idx="1">
                  <c:v>Não.</c:v>
                </c:pt>
              </c:strCache>
            </c:strRef>
          </c:cat>
          <c:val>
            <c:numRef>
              <c:f>'Tom Jobim'!$C$71:$C$72</c:f>
              <c:numCache>
                <c:formatCode>General</c:formatCode>
                <c:ptCount val="2"/>
                <c:pt idx="0">
                  <c:v>3</c:v>
                </c:pt>
                <c:pt idx="1">
                  <c:v>3</c:v>
                </c:pt>
              </c:numCache>
            </c:numRef>
          </c:val>
          <c:extLst>
            <c:ext xmlns:c16="http://schemas.microsoft.com/office/drawing/2014/chart" uri="{C3380CC4-5D6E-409C-BE32-E72D297353CC}">
              <c16:uniqueId val="{00000004-A62F-4B20-B8D2-ECBE67227C8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DCF-4C48-8EB9-107E334F964E}"/>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4DCF-4C48-8EB9-107E334F964E}"/>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Jobim'!$D$71:$D$72</c:f>
              <c:strCache>
                <c:ptCount val="2"/>
                <c:pt idx="0">
                  <c:v>Sim!</c:v>
                </c:pt>
                <c:pt idx="1">
                  <c:v>Não, me diga mais. </c:v>
                </c:pt>
              </c:strCache>
            </c:strRef>
          </c:cat>
          <c:val>
            <c:numRef>
              <c:f>'Tom Jobim'!$E$71:$E$72</c:f>
              <c:numCache>
                <c:formatCode>General</c:formatCode>
                <c:ptCount val="2"/>
                <c:pt idx="0">
                  <c:v>2</c:v>
                </c:pt>
                <c:pt idx="1">
                  <c:v>4</c:v>
                </c:pt>
              </c:numCache>
            </c:numRef>
          </c:val>
          <c:extLst>
            <c:ext xmlns:c16="http://schemas.microsoft.com/office/drawing/2014/chart" uri="{C3380CC4-5D6E-409C-BE32-E72D297353CC}">
              <c16:uniqueId val="{00000004-4DCF-4C48-8EB9-107E334F964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A3E6-47A8-BF4B-84C96416E1C9}"/>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A3E6-47A8-BF4B-84C96416E1C9}"/>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pt-BR"/>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'Tom Jobim'!$F$71:$F$72</c:f>
              <c:strCache>
                <c:ptCount val="2"/>
                <c:pt idx="0">
                  <c:v>Sim, eu sei.</c:v>
                </c:pt>
                <c:pt idx="1">
                  <c:v>Não, me conte mais.</c:v>
                </c:pt>
              </c:strCache>
            </c:strRef>
          </c:cat>
          <c:val>
            <c:numRef>
              <c:f>'Tom Jobim'!$G$71:$G$72</c:f>
              <c:numCache>
                <c:formatCode>General</c:formatCode>
                <c:ptCount val="2"/>
                <c:pt idx="0">
                  <c:v>2</c:v>
                </c:pt>
                <c:pt idx="1">
                  <c:v>4</c:v>
                </c:pt>
              </c:numCache>
            </c:numRef>
          </c:val>
          <c:extLst>
            <c:ext xmlns:c16="http://schemas.microsoft.com/office/drawing/2014/chart" uri="{C3380CC4-5D6E-409C-BE32-E72D297353CC}">
              <c16:uniqueId val="{00000004-A3E6-47A8-BF4B-84C96416E1C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jpg"/><Relationship Id="rId1" Type="http://schemas.openxmlformats.org/officeDocument/2006/relationships/chart" Target="../charts/chart1.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hyperlink" Target="#'Caetano Veloso'!B37"/><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hyperlink" Target="#'Caetano Veloso'!B64"/><Relationship Id="rId5" Type="http://schemas.openxmlformats.org/officeDocument/2006/relationships/chart" Target="../charts/chart8.xml"/><Relationship Id="rId10" Type="http://schemas.openxmlformats.org/officeDocument/2006/relationships/hyperlink" Target="#'Caetano Veloso'!B10"/><Relationship Id="rId4" Type="http://schemas.openxmlformats.org/officeDocument/2006/relationships/chart" Target="../charts/chart7.xml"/><Relationship Id="rId9"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hyperlink" Target="#'Dilermando Reis'!B37"/><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hyperlink" Target="#'Dilermando Reis'!B64"/><Relationship Id="rId5" Type="http://schemas.openxmlformats.org/officeDocument/2006/relationships/chart" Target="../charts/chart17.xml"/><Relationship Id="rId10" Type="http://schemas.openxmlformats.org/officeDocument/2006/relationships/hyperlink" Target="#'Dilermando Reis'!B10"/><Relationship Id="rId4" Type="http://schemas.openxmlformats.org/officeDocument/2006/relationships/chart" Target="../charts/chart16.xml"/><Relationship Id="rId9" Type="http://schemas.openxmlformats.org/officeDocument/2006/relationships/chart" Target="../charts/chart2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9.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hyperlink" Target="#'Ernesto Nazareth'!B37"/><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hyperlink" Target="#'Ernesto Nazareth'!B64"/><Relationship Id="rId5" Type="http://schemas.openxmlformats.org/officeDocument/2006/relationships/chart" Target="../charts/chart26.xml"/><Relationship Id="rId10" Type="http://schemas.openxmlformats.org/officeDocument/2006/relationships/hyperlink" Target="#'Ernesto Nazareth'!B10"/><Relationship Id="rId4" Type="http://schemas.openxmlformats.org/officeDocument/2006/relationships/chart" Target="../charts/chart25.xml"/><Relationship Id="rId9" Type="http://schemas.openxmlformats.org/officeDocument/2006/relationships/chart" Target="../charts/chart30.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hyperlink" Target="#'Heitor Villa-Lobos'!B37"/><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hyperlink" Target="#'Heitor Villa-Lobos'!B64"/><Relationship Id="rId5" Type="http://schemas.openxmlformats.org/officeDocument/2006/relationships/chart" Target="../charts/chart35.xml"/><Relationship Id="rId10" Type="http://schemas.openxmlformats.org/officeDocument/2006/relationships/hyperlink" Target="#'Heitor Villa-Lobos'!B10"/><Relationship Id="rId4" Type="http://schemas.openxmlformats.org/officeDocument/2006/relationships/chart" Target="../charts/chart34.xml"/><Relationship Id="rId9" Type="http://schemas.openxmlformats.org/officeDocument/2006/relationships/chart" Target="../charts/chart3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7.xml"/><Relationship Id="rId3" Type="http://schemas.openxmlformats.org/officeDocument/2006/relationships/chart" Target="../charts/chart42.xml"/><Relationship Id="rId7" Type="http://schemas.openxmlformats.org/officeDocument/2006/relationships/chart" Target="../charts/chart46.xml"/><Relationship Id="rId12" Type="http://schemas.openxmlformats.org/officeDocument/2006/relationships/hyperlink" Target="#'Tom Jobim'!B37"/><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11" Type="http://schemas.openxmlformats.org/officeDocument/2006/relationships/hyperlink" Target="#'Tom Jobim'!B64"/><Relationship Id="rId5" Type="http://schemas.openxmlformats.org/officeDocument/2006/relationships/chart" Target="../charts/chart44.xml"/><Relationship Id="rId10" Type="http://schemas.openxmlformats.org/officeDocument/2006/relationships/hyperlink" Target="#'Tom Jobim'!B10"/><Relationship Id="rId4" Type="http://schemas.openxmlformats.org/officeDocument/2006/relationships/chart" Target="../charts/chart43.xml"/><Relationship Id="rId9"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xdr:twoCellAnchor editAs="oneCell">
    <xdr:from>
      <xdr:col>6</xdr:col>
      <xdr:colOff>180188</xdr:colOff>
      <xdr:row>15</xdr:row>
      <xdr:rowOff>36269</xdr:rowOff>
    </xdr:from>
    <xdr:to>
      <xdr:col>8</xdr:col>
      <xdr:colOff>26044</xdr:colOff>
      <xdr:row>16</xdr:row>
      <xdr:rowOff>44392</xdr:rowOff>
    </xdr:to>
    <mc:AlternateContent xmlns:mc="http://schemas.openxmlformats.org/markup-compatibility/2006" xmlns:a14="http://schemas.microsoft.com/office/drawing/2010/main">
      <mc:Choice Requires="a14">
        <xdr:graphicFrame macro="">
          <xdr:nvGraphicFramePr>
            <xdr:cNvPr id="17" name="Artista 1">
              <a:extLst>
                <a:ext uri="{FF2B5EF4-FFF2-40B4-BE49-F238E27FC236}">
                  <a16:creationId xmlns:a16="http://schemas.microsoft.com/office/drawing/2014/main" id="{E63E8CDA-5E2A-4F69-92B0-C7117AD9E9D1}"/>
                </a:ext>
              </a:extLst>
            </xdr:cNvPr>
            <xdr:cNvGraphicFramePr/>
          </xdr:nvGraphicFramePr>
          <xdr:xfrm>
            <a:off x="0" y="0"/>
            <a:ext cx="0" cy="0"/>
          </xdr:xfrm>
          <a:graphic>
            <a:graphicData uri="http://schemas.microsoft.com/office/drawing/2010/slicer">
              <sle:slicer xmlns:sle="http://schemas.microsoft.com/office/drawing/2010/slicer" name="Artista 1"/>
            </a:graphicData>
          </a:graphic>
        </xdr:graphicFrame>
      </mc:Choice>
      <mc:Fallback xmlns="">
        <xdr:sp macro="" textlink="">
          <xdr:nvSpPr>
            <xdr:cNvPr id="0" name=""/>
            <xdr:cNvSpPr>
              <a:spLocks noTextEdit="1"/>
            </xdr:cNvSpPr>
          </xdr:nvSpPr>
          <xdr:spPr>
            <a:xfrm>
              <a:off x="9391423" y="9012181"/>
              <a:ext cx="2916268" cy="288803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1</xdr:col>
      <xdr:colOff>11205</xdr:colOff>
      <xdr:row>14</xdr:row>
      <xdr:rowOff>179293</xdr:rowOff>
    </xdr:from>
    <xdr:to>
      <xdr:col>6</xdr:col>
      <xdr:colOff>33129</xdr:colOff>
      <xdr:row>16</xdr:row>
      <xdr:rowOff>0</xdr:rowOff>
    </xdr:to>
    <xdr:sp macro="" textlink="">
      <xdr:nvSpPr>
        <xdr:cNvPr id="19" name="Retângulo: Cantos Arredondados 18">
          <a:extLst>
            <a:ext uri="{FF2B5EF4-FFF2-40B4-BE49-F238E27FC236}">
              <a16:creationId xmlns:a16="http://schemas.microsoft.com/office/drawing/2014/main" id="{F7477665-7A69-4C69-8847-3817E716FC1A}"/>
            </a:ext>
          </a:extLst>
        </xdr:cNvPr>
        <xdr:cNvSpPr/>
      </xdr:nvSpPr>
      <xdr:spPr>
        <a:xfrm>
          <a:off x="193422" y="8958858"/>
          <a:ext cx="9033403" cy="2885272"/>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11</xdr:row>
      <xdr:rowOff>0</xdr:rowOff>
    </xdr:from>
    <xdr:to>
      <xdr:col>8</xdr:col>
      <xdr:colOff>0</xdr:colOff>
      <xdr:row>12</xdr:row>
      <xdr:rowOff>8283</xdr:rowOff>
    </xdr:to>
    <xdr:graphicFrame macro="">
      <xdr:nvGraphicFramePr>
        <xdr:cNvPr id="12" name="Gráfico 11">
          <a:extLst>
            <a:ext uri="{FF2B5EF4-FFF2-40B4-BE49-F238E27FC236}">
              <a16:creationId xmlns:a16="http://schemas.microsoft.com/office/drawing/2014/main" id="{B7C61FD5-AB94-411F-BC51-D23CDC99E7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173935</xdr:colOff>
      <xdr:row>10</xdr:row>
      <xdr:rowOff>185968</xdr:rowOff>
    </xdr:from>
    <xdr:to>
      <xdr:col>7</xdr:col>
      <xdr:colOff>2881421</xdr:colOff>
      <xdr:row>12</xdr:row>
      <xdr:rowOff>2779</xdr:rowOff>
    </xdr:to>
    <xdr:sp macro="" textlink="">
      <xdr:nvSpPr>
        <xdr:cNvPr id="14" name="Retângulo: Cantos Arredondados 13">
          <a:extLst>
            <a:ext uri="{FF2B5EF4-FFF2-40B4-BE49-F238E27FC236}">
              <a16:creationId xmlns:a16="http://schemas.microsoft.com/office/drawing/2014/main" id="{FA1E1F81-503E-BDB7-D7BD-E4B921DD0E94}"/>
            </a:ext>
          </a:extLst>
        </xdr:cNvPr>
        <xdr:cNvSpPr/>
      </xdr:nvSpPr>
      <xdr:spPr>
        <a:xfrm>
          <a:off x="173935" y="5319943"/>
          <a:ext cx="12089611" cy="2941011"/>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9525</xdr:colOff>
      <xdr:row>3</xdr:row>
      <xdr:rowOff>137012</xdr:rowOff>
    </xdr:from>
    <xdr:to>
      <xdr:col>8</xdr:col>
      <xdr:colOff>19050</xdr:colOff>
      <xdr:row>3</xdr:row>
      <xdr:rowOff>1678010</xdr:rowOff>
    </xdr:to>
    <xdr:pic>
      <xdr:nvPicPr>
        <xdr:cNvPr id="3" name="Imagem 2" descr="Jornal com imagens de pessoas&#10;&#10;Descrição gerada automaticamente com confiança média">
          <a:extLst>
            <a:ext uri="{FF2B5EF4-FFF2-40B4-BE49-F238E27FC236}">
              <a16:creationId xmlns:a16="http://schemas.microsoft.com/office/drawing/2014/main" id="{919A309C-9590-BC36-D91B-1641EFE40814}"/>
            </a:ext>
          </a:extLst>
        </xdr:cNvPr>
        <xdr:cNvPicPr>
          <a:picLocks noChangeAspect="1"/>
        </xdr:cNvPicPr>
      </xdr:nvPicPr>
      <xdr:blipFill rotWithShape="1">
        <a:blip xmlns:r="http://schemas.openxmlformats.org/officeDocument/2006/relationships" r:embed="rId2">
          <a:duotone>
            <a:prstClr val="black"/>
            <a:schemeClr val="accent6">
              <a:tint val="45000"/>
              <a:satMod val="400000"/>
            </a:schemeClr>
          </a:duotone>
          <a:extLst>
            <a:ext uri="{28A0092B-C50C-407E-A947-70E740481C1C}">
              <a14:useLocalDpi xmlns:a14="http://schemas.microsoft.com/office/drawing/2010/main" val="0"/>
            </a:ext>
          </a:extLst>
        </a:blip>
        <a:srcRect l="179" t="69402" r="-179" b="20857"/>
        <a:stretch/>
      </xdr:blipFill>
      <xdr:spPr>
        <a:xfrm>
          <a:off x="190500" y="1470512"/>
          <a:ext cx="12096750" cy="1540998"/>
        </a:xfrm>
        <a:prstGeom prst="roundRect">
          <a:avLst>
            <a:gd name="adj" fmla="val 16667"/>
          </a:avLst>
        </a:prstGeom>
        <a:ln>
          <a:noFill/>
        </a:ln>
        <a:effectLst/>
        <a:scene3d>
          <a:camera prst="orthographicFront"/>
          <a:lightRig rig="contrasting" dir="t">
            <a:rot lat="0" lon="0" rev="4200000"/>
          </a:lightRig>
        </a:scene3d>
        <a:sp3d prstMaterial="plastic">
          <a:contourClr>
            <a:srgbClr val="969696"/>
          </a:contourClr>
        </a:sp3d>
      </xdr:spPr>
    </xdr:pic>
    <xdr:clientData/>
  </xdr:twoCellAnchor>
  <xdr:twoCellAnchor>
    <xdr:from>
      <xdr:col>1</xdr:col>
      <xdr:colOff>19050</xdr:colOff>
      <xdr:row>0</xdr:row>
      <xdr:rowOff>52387</xdr:rowOff>
    </xdr:from>
    <xdr:to>
      <xdr:col>8</xdr:col>
      <xdr:colOff>0</xdr:colOff>
      <xdr:row>1</xdr:row>
      <xdr:rowOff>14287</xdr:rowOff>
    </xdr:to>
    <xdr:sp macro="" textlink="">
      <xdr:nvSpPr>
        <xdr:cNvPr id="8" name="CaixaDeTexto 7">
          <a:extLst>
            <a:ext uri="{FF2B5EF4-FFF2-40B4-BE49-F238E27FC236}">
              <a16:creationId xmlns:a16="http://schemas.microsoft.com/office/drawing/2014/main" id="{96C5DEC9-C645-4D79-8540-30CE3D9EC8C0}"/>
            </a:ext>
          </a:extLst>
        </xdr:cNvPr>
        <xdr:cNvSpPr txBox="1"/>
      </xdr:nvSpPr>
      <xdr:spPr>
        <a:xfrm>
          <a:off x="200025" y="814387"/>
          <a:ext cx="120681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600" b="1">
              <a:solidFill>
                <a:schemeClr val="tx1">
                  <a:lumMod val="75000"/>
                  <a:lumOff val="25000"/>
                </a:schemeClr>
              </a:solidFill>
              <a:latin typeface="Abadi" panose="020B0604020104020204" pitchFamily="34" charset="0"/>
            </a:rPr>
            <a:t>Dashboard</a:t>
          </a:r>
        </a:p>
      </xdr:txBody>
    </xdr:sp>
    <xdr:clientData/>
  </xdr:twoCellAnchor>
  <xdr:twoCellAnchor>
    <xdr:from>
      <xdr:col>3</xdr:col>
      <xdr:colOff>2111828</xdr:colOff>
      <xdr:row>3</xdr:row>
      <xdr:rowOff>400729</xdr:rowOff>
    </xdr:from>
    <xdr:to>
      <xdr:col>5</xdr:col>
      <xdr:colOff>749753</xdr:colOff>
      <xdr:row>3</xdr:row>
      <xdr:rowOff>1315129</xdr:rowOff>
    </xdr:to>
    <xdr:sp macro="" textlink="">
      <xdr:nvSpPr>
        <xdr:cNvPr id="9" name="CaixaDeTexto 8">
          <a:extLst>
            <a:ext uri="{FF2B5EF4-FFF2-40B4-BE49-F238E27FC236}">
              <a16:creationId xmlns:a16="http://schemas.microsoft.com/office/drawing/2014/main" id="{9487BC43-BE12-4EC5-A0AD-1786482AD0A9}"/>
            </a:ext>
          </a:extLst>
        </xdr:cNvPr>
        <xdr:cNvSpPr txBox="1"/>
      </xdr:nvSpPr>
      <xdr:spPr>
        <a:xfrm>
          <a:off x="5350328" y="1516515"/>
          <a:ext cx="1699532"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5400" b="1">
              <a:solidFill>
                <a:schemeClr val="bg1"/>
              </a:solidFill>
              <a:latin typeface="Abadi" panose="020B0604020104020204" pitchFamily="34" charset="0"/>
            </a:rPr>
            <a:t>MPB</a:t>
          </a:r>
        </a:p>
      </xdr:txBody>
    </xdr:sp>
    <xdr:clientData/>
  </xdr:twoCellAnchor>
  <xdr:twoCellAnchor>
    <xdr:from>
      <xdr:col>3</xdr:col>
      <xdr:colOff>9525</xdr:colOff>
      <xdr:row>5</xdr:row>
      <xdr:rowOff>0</xdr:rowOff>
    </xdr:from>
    <xdr:to>
      <xdr:col>4</xdr:col>
      <xdr:colOff>9525</xdr:colOff>
      <xdr:row>8</xdr:row>
      <xdr:rowOff>9524</xdr:rowOff>
    </xdr:to>
    <xdr:sp macro="" textlink="">
      <xdr:nvSpPr>
        <xdr:cNvPr id="4" name="Retângulo: Cantos Arredondados 3">
          <a:extLst>
            <a:ext uri="{FF2B5EF4-FFF2-40B4-BE49-F238E27FC236}">
              <a16:creationId xmlns:a16="http://schemas.microsoft.com/office/drawing/2014/main" id="{DFE9B36D-F327-42BF-910A-3301B0E36399}"/>
            </a:ext>
          </a:extLst>
        </xdr:cNvPr>
        <xdr:cNvSpPr/>
      </xdr:nvSpPr>
      <xdr:spPr>
        <a:xfrm>
          <a:off x="3257550" y="3429000"/>
          <a:ext cx="2886075" cy="1276349"/>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9525</xdr:colOff>
      <xdr:row>5</xdr:row>
      <xdr:rowOff>0</xdr:rowOff>
    </xdr:from>
    <xdr:to>
      <xdr:col>6</xdr:col>
      <xdr:colOff>9525</xdr:colOff>
      <xdr:row>8</xdr:row>
      <xdr:rowOff>9524</xdr:rowOff>
    </xdr:to>
    <xdr:sp macro="" textlink="">
      <xdr:nvSpPr>
        <xdr:cNvPr id="5" name="Retângulo: Cantos Arredondados 4">
          <a:extLst>
            <a:ext uri="{FF2B5EF4-FFF2-40B4-BE49-F238E27FC236}">
              <a16:creationId xmlns:a16="http://schemas.microsoft.com/office/drawing/2014/main" id="{3B4F1807-2077-49F8-B74E-5BC71C6A6D5B}"/>
            </a:ext>
          </a:extLst>
        </xdr:cNvPr>
        <xdr:cNvSpPr/>
      </xdr:nvSpPr>
      <xdr:spPr>
        <a:xfrm>
          <a:off x="6324600" y="3429000"/>
          <a:ext cx="2886075" cy="1276349"/>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9525</xdr:colOff>
      <xdr:row>5</xdr:row>
      <xdr:rowOff>0</xdr:rowOff>
    </xdr:from>
    <xdr:to>
      <xdr:col>8</xdr:col>
      <xdr:colOff>9525</xdr:colOff>
      <xdr:row>8</xdr:row>
      <xdr:rowOff>9524</xdr:rowOff>
    </xdr:to>
    <xdr:sp macro="" textlink="">
      <xdr:nvSpPr>
        <xdr:cNvPr id="6" name="Retângulo: Cantos Arredondados 5">
          <a:extLst>
            <a:ext uri="{FF2B5EF4-FFF2-40B4-BE49-F238E27FC236}">
              <a16:creationId xmlns:a16="http://schemas.microsoft.com/office/drawing/2014/main" id="{5A30FC85-7166-4065-8925-1D3668BE94F1}"/>
            </a:ext>
          </a:extLst>
        </xdr:cNvPr>
        <xdr:cNvSpPr/>
      </xdr:nvSpPr>
      <xdr:spPr>
        <a:xfrm>
          <a:off x="9391650" y="3429000"/>
          <a:ext cx="2886075" cy="1276349"/>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4</xdr:row>
      <xdr:rowOff>409575</xdr:rowOff>
    </xdr:from>
    <xdr:to>
      <xdr:col>2</xdr:col>
      <xdr:colOff>0</xdr:colOff>
      <xdr:row>7</xdr:row>
      <xdr:rowOff>190499</xdr:rowOff>
    </xdr:to>
    <xdr:sp macro="" textlink="">
      <xdr:nvSpPr>
        <xdr:cNvPr id="10" name="Retângulo: Cantos Arredondados 9">
          <a:extLst>
            <a:ext uri="{FF2B5EF4-FFF2-40B4-BE49-F238E27FC236}">
              <a16:creationId xmlns:a16="http://schemas.microsoft.com/office/drawing/2014/main" id="{39332673-F08E-46FD-AFD1-1F988BC232D7}"/>
            </a:ext>
          </a:extLst>
        </xdr:cNvPr>
        <xdr:cNvSpPr/>
      </xdr:nvSpPr>
      <xdr:spPr>
        <a:xfrm>
          <a:off x="180975" y="3314700"/>
          <a:ext cx="2886075" cy="1276349"/>
        </a:xfrm>
        <a:prstGeom prst="roundRect">
          <a:avLst/>
        </a:prstGeom>
        <a:solidFill>
          <a:srgbClr val="777777">
            <a:alpha val="5098"/>
          </a:srgb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9525</xdr:colOff>
      <xdr:row>9</xdr:row>
      <xdr:rowOff>9525</xdr:rowOff>
    </xdr:from>
    <xdr:to>
      <xdr:col>8</xdr:col>
      <xdr:colOff>9525</xdr:colOff>
      <xdr:row>9</xdr:row>
      <xdr:rowOff>657224</xdr:rowOff>
    </xdr:to>
    <xdr:sp macro="" textlink="">
      <xdr:nvSpPr>
        <xdr:cNvPr id="11" name="Retângulo: Cantos Arredondados 10">
          <a:extLst>
            <a:ext uri="{FF2B5EF4-FFF2-40B4-BE49-F238E27FC236}">
              <a16:creationId xmlns:a16="http://schemas.microsoft.com/office/drawing/2014/main" id="{3BF33BCB-1159-57E4-22D0-EE5CD887F8B3}"/>
            </a:ext>
          </a:extLst>
        </xdr:cNvPr>
        <xdr:cNvSpPr/>
      </xdr:nvSpPr>
      <xdr:spPr>
        <a:xfrm>
          <a:off x="190500" y="4686300"/>
          <a:ext cx="12087225" cy="64769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Quantidade de Vendas</a:t>
          </a:r>
          <a:r>
            <a:rPr lang="pt-BR" sz="1400" baseline="0">
              <a:solidFill>
                <a:schemeClr val="bg1"/>
              </a:solidFill>
              <a:latin typeface="Abadi" panose="020B0604020104020204" pitchFamily="34" charset="0"/>
            </a:rPr>
            <a:t> por Artista</a:t>
          </a:r>
          <a:endParaRPr lang="pt-BR" sz="1400">
            <a:solidFill>
              <a:schemeClr val="bg1"/>
            </a:solidFill>
            <a:latin typeface="Abadi" panose="020B0604020104020204" pitchFamily="34" charset="0"/>
          </a:endParaRPr>
        </a:p>
      </xdr:txBody>
    </xdr:sp>
    <xdr:clientData/>
  </xdr:twoCellAnchor>
  <xdr:twoCellAnchor>
    <xdr:from>
      <xdr:col>1</xdr:col>
      <xdr:colOff>6019</xdr:colOff>
      <xdr:row>19</xdr:row>
      <xdr:rowOff>9525</xdr:rowOff>
    </xdr:from>
    <xdr:to>
      <xdr:col>4</xdr:col>
      <xdr:colOff>0</xdr:colOff>
      <xdr:row>31</xdr:row>
      <xdr:rowOff>11206</xdr:rowOff>
    </xdr:to>
    <xdr:sp macro="" textlink="">
      <xdr:nvSpPr>
        <xdr:cNvPr id="27" name="Retângulo: Cantos Arredondados 26">
          <a:extLst>
            <a:ext uri="{FF2B5EF4-FFF2-40B4-BE49-F238E27FC236}">
              <a16:creationId xmlns:a16="http://schemas.microsoft.com/office/drawing/2014/main" id="{4794F654-6BFC-4AE9-9A61-ED873558F4BD}"/>
            </a:ext>
          </a:extLst>
        </xdr:cNvPr>
        <xdr:cNvSpPr/>
      </xdr:nvSpPr>
      <xdr:spPr>
        <a:xfrm>
          <a:off x="186994" y="12715875"/>
          <a:ext cx="5947106" cy="3230656"/>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9525</xdr:colOff>
      <xdr:row>13</xdr:row>
      <xdr:rowOff>9525</xdr:rowOff>
    </xdr:from>
    <xdr:to>
      <xdr:col>8</xdr:col>
      <xdr:colOff>9525</xdr:colOff>
      <xdr:row>13</xdr:row>
      <xdr:rowOff>657224</xdr:rowOff>
    </xdr:to>
    <xdr:sp macro="" textlink="">
      <xdr:nvSpPr>
        <xdr:cNvPr id="15" name="Retângulo: Cantos Arredondados 14">
          <a:extLst>
            <a:ext uri="{FF2B5EF4-FFF2-40B4-BE49-F238E27FC236}">
              <a16:creationId xmlns:a16="http://schemas.microsoft.com/office/drawing/2014/main" id="{96045035-7B7D-4409-94AF-BDC703C18B16}"/>
            </a:ext>
          </a:extLst>
        </xdr:cNvPr>
        <xdr:cNvSpPr/>
      </xdr:nvSpPr>
      <xdr:spPr>
        <a:xfrm>
          <a:off x="182707" y="4789343"/>
          <a:ext cx="12088091" cy="323849"/>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Músicas</a:t>
          </a:r>
          <a:r>
            <a:rPr lang="pt-BR" sz="1400" baseline="0">
              <a:solidFill>
                <a:schemeClr val="bg1"/>
              </a:solidFill>
              <a:latin typeface="Abadi" panose="020B0604020104020204" pitchFamily="34" charset="0"/>
            </a:rPr>
            <a:t> Mais Visitadas</a:t>
          </a:r>
          <a:endParaRPr lang="pt-BR" sz="1400">
            <a:solidFill>
              <a:schemeClr val="bg1"/>
            </a:solidFill>
            <a:latin typeface="Abadi" panose="020B0604020104020204" pitchFamily="34" charset="0"/>
          </a:endParaRPr>
        </a:p>
      </xdr:txBody>
    </xdr:sp>
    <xdr:clientData/>
  </xdr:twoCellAnchor>
  <xdr:twoCellAnchor>
    <xdr:from>
      <xdr:col>1</xdr:col>
      <xdr:colOff>11207</xdr:colOff>
      <xdr:row>14</xdr:row>
      <xdr:rowOff>180974</xdr:rowOff>
    </xdr:from>
    <xdr:to>
      <xdr:col>6</xdr:col>
      <xdr:colOff>22412</xdr:colOff>
      <xdr:row>16</xdr:row>
      <xdr:rowOff>-1</xdr:rowOff>
    </xdr:to>
    <xdr:graphicFrame macro="">
      <xdr:nvGraphicFramePr>
        <xdr:cNvPr id="16" name="Gráfico 15">
          <a:extLst>
            <a:ext uri="{FF2B5EF4-FFF2-40B4-BE49-F238E27FC236}">
              <a16:creationId xmlns:a16="http://schemas.microsoft.com/office/drawing/2014/main" id="{9A534C77-C52C-4697-9481-6E9882B92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17</xdr:row>
      <xdr:rowOff>9525</xdr:rowOff>
    </xdr:from>
    <xdr:to>
      <xdr:col>8</xdr:col>
      <xdr:colOff>9525</xdr:colOff>
      <xdr:row>17</xdr:row>
      <xdr:rowOff>333374</xdr:rowOff>
    </xdr:to>
    <xdr:sp macro="" textlink="">
      <xdr:nvSpPr>
        <xdr:cNvPr id="18" name="Retângulo: Cantos Arredondados 17">
          <a:extLst>
            <a:ext uri="{FF2B5EF4-FFF2-40B4-BE49-F238E27FC236}">
              <a16:creationId xmlns:a16="http://schemas.microsoft.com/office/drawing/2014/main" id="{26359335-2ACF-4DD8-8D18-5745A2F277D1}"/>
            </a:ext>
          </a:extLst>
        </xdr:cNvPr>
        <xdr:cNvSpPr/>
      </xdr:nvSpPr>
      <xdr:spPr>
        <a:xfrm>
          <a:off x="190500" y="12049125"/>
          <a:ext cx="12087225" cy="32384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Pagamentos</a:t>
          </a:r>
        </a:p>
      </xdr:txBody>
    </xdr:sp>
    <xdr:clientData/>
  </xdr:twoCellAnchor>
  <xdr:twoCellAnchor>
    <xdr:from>
      <xdr:col>1</xdr:col>
      <xdr:colOff>11205</xdr:colOff>
      <xdr:row>18</xdr:row>
      <xdr:rowOff>324969</xdr:rowOff>
    </xdr:from>
    <xdr:to>
      <xdr:col>4</xdr:col>
      <xdr:colOff>0</xdr:colOff>
      <xdr:row>30</xdr:row>
      <xdr:rowOff>177051</xdr:rowOff>
    </xdr:to>
    <xdr:graphicFrame macro="">
      <xdr:nvGraphicFramePr>
        <xdr:cNvPr id="24" name="Gráfico 23">
          <a:extLst>
            <a:ext uri="{FF2B5EF4-FFF2-40B4-BE49-F238E27FC236}">
              <a16:creationId xmlns:a16="http://schemas.microsoft.com/office/drawing/2014/main" id="{95B4AA5B-2948-4D5A-B1E5-2E1FFA2A4B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7844</xdr:colOff>
      <xdr:row>13</xdr:row>
      <xdr:rowOff>10085</xdr:rowOff>
    </xdr:from>
    <xdr:to>
      <xdr:col>8</xdr:col>
      <xdr:colOff>7844</xdr:colOff>
      <xdr:row>14</xdr:row>
      <xdr:rowOff>559</xdr:rowOff>
    </xdr:to>
    <xdr:sp macro="" textlink="">
      <xdr:nvSpPr>
        <xdr:cNvPr id="25" name="Retângulo: Cantos Arredondados 24">
          <a:extLst>
            <a:ext uri="{FF2B5EF4-FFF2-40B4-BE49-F238E27FC236}">
              <a16:creationId xmlns:a16="http://schemas.microsoft.com/office/drawing/2014/main" id="{7FE711CB-5B49-4A03-8C81-49B538A4B417}"/>
            </a:ext>
          </a:extLst>
        </xdr:cNvPr>
        <xdr:cNvSpPr/>
      </xdr:nvSpPr>
      <xdr:spPr>
        <a:xfrm>
          <a:off x="188819" y="8458760"/>
          <a:ext cx="12087225" cy="32384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bg1"/>
              </a:solidFill>
              <a:latin typeface="Abadi" panose="020B0604020104020204" pitchFamily="34" charset="0"/>
            </a:rPr>
            <a:t>Pagamentos</a:t>
          </a:r>
        </a:p>
      </xdr:txBody>
    </xdr:sp>
    <xdr:clientData/>
  </xdr:twoCellAnchor>
  <xdr:twoCellAnchor>
    <xdr:from>
      <xdr:col>5</xdr:col>
      <xdr:colOff>0</xdr:colOff>
      <xdr:row>26</xdr:row>
      <xdr:rowOff>1</xdr:rowOff>
    </xdr:from>
    <xdr:to>
      <xdr:col>8</xdr:col>
      <xdr:colOff>4969</xdr:colOff>
      <xdr:row>27</xdr:row>
      <xdr:rowOff>8283</xdr:rowOff>
    </xdr:to>
    <xdr:sp macro="" textlink="">
      <xdr:nvSpPr>
        <xdr:cNvPr id="26" name="Retângulo: Cantos Arredondados 25">
          <a:extLst>
            <a:ext uri="{FF2B5EF4-FFF2-40B4-BE49-F238E27FC236}">
              <a16:creationId xmlns:a16="http://schemas.microsoft.com/office/drawing/2014/main" id="{674A88A1-B33D-4431-BF06-8AAFFABC648E}"/>
            </a:ext>
          </a:extLst>
        </xdr:cNvPr>
        <xdr:cNvSpPr/>
      </xdr:nvSpPr>
      <xdr:spPr>
        <a:xfrm>
          <a:off x="6320118" y="14657295"/>
          <a:ext cx="5966498" cy="198782"/>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chemeClr val="bg1"/>
              </a:solidFill>
              <a:latin typeface="Abadi" panose="020B0604020104020204" pitchFamily="34" charset="0"/>
            </a:rPr>
            <a:t>Método de Pagamento</a:t>
          </a:r>
        </a:p>
      </xdr:txBody>
    </xdr:sp>
    <xdr:clientData/>
  </xdr:twoCellAnchor>
  <xdr:twoCellAnchor>
    <xdr:from>
      <xdr:col>5</xdr:col>
      <xdr:colOff>0</xdr:colOff>
      <xdr:row>19</xdr:row>
      <xdr:rowOff>0</xdr:rowOff>
    </xdr:from>
    <xdr:to>
      <xdr:col>8</xdr:col>
      <xdr:colOff>5953</xdr:colOff>
      <xdr:row>21</xdr:row>
      <xdr:rowOff>6569</xdr:rowOff>
    </xdr:to>
    <xdr:sp macro="" textlink="">
      <xdr:nvSpPr>
        <xdr:cNvPr id="28" name="Retângulo: Cantos Arredondados 27">
          <a:extLst>
            <a:ext uri="{FF2B5EF4-FFF2-40B4-BE49-F238E27FC236}">
              <a16:creationId xmlns:a16="http://schemas.microsoft.com/office/drawing/2014/main" id="{4CC49A37-F10B-4ED1-BA98-EC9913C32229}"/>
            </a:ext>
          </a:extLst>
        </xdr:cNvPr>
        <xdr:cNvSpPr/>
      </xdr:nvSpPr>
      <xdr:spPr>
        <a:xfrm>
          <a:off x="6310313" y="12709922"/>
          <a:ext cx="5959078" cy="643553"/>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7327</xdr:colOff>
      <xdr:row>21</xdr:row>
      <xdr:rowOff>187572</xdr:rowOff>
    </xdr:from>
    <xdr:to>
      <xdr:col>6</xdr:col>
      <xdr:colOff>7327</xdr:colOff>
      <xdr:row>25</xdr:row>
      <xdr:rowOff>1782</xdr:rowOff>
    </xdr:to>
    <xdr:sp macro="" textlink="">
      <xdr:nvSpPr>
        <xdr:cNvPr id="29" name="Retângulo: Cantos Arredondados 28">
          <a:extLst>
            <a:ext uri="{FF2B5EF4-FFF2-40B4-BE49-F238E27FC236}">
              <a16:creationId xmlns:a16="http://schemas.microsoft.com/office/drawing/2014/main" id="{35783DBE-6A8C-4843-847D-8539197C5205}"/>
            </a:ext>
          </a:extLst>
        </xdr:cNvPr>
        <xdr:cNvSpPr/>
      </xdr:nvSpPr>
      <xdr:spPr>
        <a:xfrm>
          <a:off x="6330462" y="13544553"/>
          <a:ext cx="2886807" cy="774037"/>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7</xdr:col>
      <xdr:colOff>10561</xdr:colOff>
      <xdr:row>22</xdr:row>
      <xdr:rowOff>7712</xdr:rowOff>
    </xdr:from>
    <xdr:to>
      <xdr:col>8</xdr:col>
      <xdr:colOff>11596</xdr:colOff>
      <xdr:row>25</xdr:row>
      <xdr:rowOff>3312</xdr:rowOff>
    </xdr:to>
    <xdr:sp macro="" textlink="">
      <xdr:nvSpPr>
        <xdr:cNvPr id="30" name="Retângulo: Cantos Arredondados 29">
          <a:extLst>
            <a:ext uri="{FF2B5EF4-FFF2-40B4-BE49-F238E27FC236}">
              <a16:creationId xmlns:a16="http://schemas.microsoft.com/office/drawing/2014/main" id="{B2DD9C04-8217-44BB-8B69-84735F2737FC}"/>
            </a:ext>
          </a:extLst>
        </xdr:cNvPr>
        <xdr:cNvSpPr/>
      </xdr:nvSpPr>
      <xdr:spPr>
        <a:xfrm>
          <a:off x="9386474" y="13533212"/>
          <a:ext cx="2883383" cy="832143"/>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5</xdr:col>
      <xdr:colOff>5862</xdr:colOff>
      <xdr:row>27</xdr:row>
      <xdr:rowOff>186107</xdr:rowOff>
    </xdr:from>
    <xdr:to>
      <xdr:col>6</xdr:col>
      <xdr:colOff>5862</xdr:colOff>
      <xdr:row>31</xdr:row>
      <xdr:rowOff>317</xdr:rowOff>
    </xdr:to>
    <xdr:sp macro="" textlink="">
      <xdr:nvSpPr>
        <xdr:cNvPr id="32" name="Retângulo: Cantos Arredondados 31">
          <a:extLst>
            <a:ext uri="{FF2B5EF4-FFF2-40B4-BE49-F238E27FC236}">
              <a16:creationId xmlns:a16="http://schemas.microsoft.com/office/drawing/2014/main" id="{1F201FFD-BFCA-4E2F-A337-153E2E39C1FC}"/>
            </a:ext>
          </a:extLst>
        </xdr:cNvPr>
        <xdr:cNvSpPr/>
      </xdr:nvSpPr>
      <xdr:spPr>
        <a:xfrm>
          <a:off x="6328997" y="14883915"/>
          <a:ext cx="2886807" cy="774037"/>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6</xdr:col>
      <xdr:colOff>180244</xdr:colOff>
      <xdr:row>28</xdr:row>
      <xdr:rowOff>1469</xdr:rowOff>
    </xdr:from>
    <xdr:to>
      <xdr:col>7</xdr:col>
      <xdr:colOff>2883878</xdr:colOff>
      <xdr:row>31</xdr:row>
      <xdr:rowOff>6179</xdr:rowOff>
    </xdr:to>
    <xdr:sp macro="" textlink="">
      <xdr:nvSpPr>
        <xdr:cNvPr id="33" name="Retângulo: Cantos Arredondados 32">
          <a:extLst>
            <a:ext uri="{FF2B5EF4-FFF2-40B4-BE49-F238E27FC236}">
              <a16:creationId xmlns:a16="http://schemas.microsoft.com/office/drawing/2014/main" id="{6D9FBCF3-D514-4C6E-A788-62102DAF62F4}"/>
            </a:ext>
          </a:extLst>
        </xdr:cNvPr>
        <xdr:cNvSpPr/>
      </xdr:nvSpPr>
      <xdr:spPr>
        <a:xfrm>
          <a:off x="9390186" y="14889777"/>
          <a:ext cx="2886807" cy="774037"/>
        </a:xfrm>
        <a:prstGeom prst="roundRect">
          <a:avLst/>
        </a:prstGeom>
        <a:solidFill>
          <a:srgbClr val="777777">
            <a:alpha val="5098"/>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7</xdr:col>
      <xdr:colOff>1636060</xdr:colOff>
      <xdr:row>0</xdr:row>
      <xdr:rowOff>201706</xdr:rowOff>
    </xdr:from>
    <xdr:to>
      <xdr:col>8</xdr:col>
      <xdr:colOff>1</xdr:colOff>
      <xdr:row>0</xdr:row>
      <xdr:rowOff>571501</xdr:rowOff>
    </xdr:to>
    <xdr:sp macro="[0]!atualizacao" textlink="">
      <xdr:nvSpPr>
        <xdr:cNvPr id="7" name="Retângulo: Cantos Arredondados 6">
          <a:extLst>
            <a:ext uri="{FF2B5EF4-FFF2-40B4-BE49-F238E27FC236}">
              <a16:creationId xmlns:a16="http://schemas.microsoft.com/office/drawing/2014/main" id="{5A6ADE5A-B023-3729-FD1E-B39951C325AB}"/>
            </a:ext>
          </a:extLst>
        </xdr:cNvPr>
        <xdr:cNvSpPr/>
      </xdr:nvSpPr>
      <xdr:spPr>
        <a:xfrm>
          <a:off x="11026589" y="201706"/>
          <a:ext cx="1255059" cy="369795"/>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0">
              <a:solidFill>
                <a:schemeClr val="accent6">
                  <a:lumMod val="75000"/>
                </a:schemeClr>
              </a:solidFill>
              <a:latin typeface="Abadi" panose="020B0604020104020204" pitchFamily="34" charset="0"/>
            </a:rPr>
            <a:t>Atualizar Dados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4" name="Gráfico 3">
          <a:extLst>
            <a:ext uri="{FF2B5EF4-FFF2-40B4-BE49-F238E27FC236}">
              <a16:creationId xmlns:a16="http://schemas.microsoft.com/office/drawing/2014/main" id="{1FB8954F-1E55-F3C9-9B80-A368AA760C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6" name="Gráfico 5">
          <a:extLst>
            <a:ext uri="{FF2B5EF4-FFF2-40B4-BE49-F238E27FC236}">
              <a16:creationId xmlns:a16="http://schemas.microsoft.com/office/drawing/2014/main" id="{BB00C899-2BD2-4BD7-82F9-5B6E189B8D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7" name="Gráfico 6">
          <a:extLst>
            <a:ext uri="{FF2B5EF4-FFF2-40B4-BE49-F238E27FC236}">
              <a16:creationId xmlns:a16="http://schemas.microsoft.com/office/drawing/2014/main" id="{70DF0EC0-2395-4691-87CD-2E3D738479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14" name="Gráfico 13">
          <a:extLst>
            <a:ext uri="{FF2B5EF4-FFF2-40B4-BE49-F238E27FC236}">
              <a16:creationId xmlns:a16="http://schemas.microsoft.com/office/drawing/2014/main" id="{BF800E6F-2A1D-420E-8863-BF6EE4E91C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15" name="Gráfico 14">
          <a:extLst>
            <a:ext uri="{FF2B5EF4-FFF2-40B4-BE49-F238E27FC236}">
              <a16:creationId xmlns:a16="http://schemas.microsoft.com/office/drawing/2014/main" id="{01AC9EB9-359B-4ADC-BA80-FFF97455A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16" name="Gráfico 15">
          <a:extLst>
            <a:ext uri="{FF2B5EF4-FFF2-40B4-BE49-F238E27FC236}">
              <a16:creationId xmlns:a16="http://schemas.microsoft.com/office/drawing/2014/main" id="{15ABB3B8-A198-4A50-9B34-FF3A65B95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17" name="Gráfico 16">
          <a:extLst>
            <a:ext uri="{FF2B5EF4-FFF2-40B4-BE49-F238E27FC236}">
              <a16:creationId xmlns:a16="http://schemas.microsoft.com/office/drawing/2014/main" id="{D67EEFD6-E23B-474B-850F-2B7A95A09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18" name="Gráfico 17">
          <a:extLst>
            <a:ext uri="{FF2B5EF4-FFF2-40B4-BE49-F238E27FC236}">
              <a16:creationId xmlns:a16="http://schemas.microsoft.com/office/drawing/2014/main" id="{ACA1A436-D831-4FDF-8986-EDC11FE86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9" name="Gráfico 18">
          <a:extLst>
            <a:ext uri="{FF2B5EF4-FFF2-40B4-BE49-F238E27FC236}">
              <a16:creationId xmlns:a16="http://schemas.microsoft.com/office/drawing/2014/main" id="{99155EDA-046F-4C5A-8EE2-DF83DA7CDD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20" name="Retângulo 19">
          <a:hlinkClick xmlns:r="http://schemas.openxmlformats.org/officeDocument/2006/relationships" r:id="rId10"/>
          <a:extLst>
            <a:ext uri="{FF2B5EF4-FFF2-40B4-BE49-F238E27FC236}">
              <a16:creationId xmlns:a16="http://schemas.microsoft.com/office/drawing/2014/main" id="{852C92DB-DDD9-F00D-72BD-340E7CC720B4}"/>
            </a:ext>
          </a:extLst>
        </xdr:cNvPr>
        <xdr:cNvSpPr/>
      </xdr:nvSpPr>
      <xdr:spPr>
        <a:xfrm>
          <a:off x="81643" y="2163536"/>
          <a:ext cx="3592286" cy="1156607"/>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Alegria Alegria</a:t>
          </a: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4789605E-7E58-4D06-9C0C-0D6457E3BFE9}"/>
            </a:ext>
          </a:extLst>
        </xdr:cNvPr>
        <xdr:cNvSpPr/>
      </xdr:nvSpPr>
      <xdr:spPr>
        <a:xfrm>
          <a:off x="8806521" y="2166258"/>
          <a:ext cx="3592286" cy="1156607"/>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Desde Samba</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23" name="Retângulo 22">
          <a:hlinkClick xmlns:r="http://schemas.openxmlformats.org/officeDocument/2006/relationships" r:id="rId12"/>
          <a:extLst>
            <a:ext uri="{FF2B5EF4-FFF2-40B4-BE49-F238E27FC236}">
              <a16:creationId xmlns:a16="http://schemas.microsoft.com/office/drawing/2014/main" id="{97F4E46A-DD56-4A3A-A914-BDD0DD547F5E}"/>
            </a:ext>
          </a:extLst>
        </xdr:cNvPr>
        <xdr:cNvSpPr/>
      </xdr:nvSpPr>
      <xdr:spPr>
        <a:xfrm>
          <a:off x="4454964" y="2168979"/>
          <a:ext cx="3586865" cy="1156607"/>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Coração Vagabundo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63D3C671-9882-44D9-9CAD-79551CD9D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05ACD9B2-02B7-46F7-8591-673A996F54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CD21A61B-463D-436F-B070-5541A7057F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C6262D7C-FBA9-4FBF-91B5-F13E252EE2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59C051B9-7369-401E-AA5C-E73F305F31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2B5AA7DF-4F9E-4955-A347-5AEB27BC60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C3FFE8FF-2AD0-48C6-9339-A8362F97D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A21BD7C8-480D-4364-8065-56941DC6C6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4086A373-0473-4D2A-B9D1-E0A8E770F1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BA7F2E8D-E99D-4945-A4DB-DE612166DFEA}"/>
            </a:ext>
          </a:extLst>
        </xdr:cNvPr>
        <xdr:cNvSpPr/>
      </xdr:nvSpPr>
      <xdr:spPr>
        <a:xfrm>
          <a:off x="81643" y="2721429"/>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Abismo de Rosas</a:t>
          </a: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1243A4F3-917B-463E-8F3B-4AF0BAB52C5D}"/>
            </a:ext>
          </a:extLst>
        </xdr:cNvPr>
        <xdr:cNvSpPr/>
      </xdr:nvSpPr>
      <xdr:spPr>
        <a:xfrm>
          <a:off x="8784750" y="2720069"/>
          <a:ext cx="3585482"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Se Ela Perguntar</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0BEA7B1C-5694-44A6-815E-3F74EA34775F}"/>
            </a:ext>
          </a:extLst>
        </xdr:cNvPr>
        <xdr:cNvSpPr/>
      </xdr:nvSpPr>
      <xdr:spPr>
        <a:xfrm>
          <a:off x="4446800" y="2722790"/>
          <a:ext cx="3580061"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Noite de</a:t>
          </a:r>
          <a:r>
            <a:rPr lang="pt-BR" sz="2400" b="1" baseline="0">
              <a:solidFill>
                <a:schemeClr val="tx1"/>
              </a:solidFill>
              <a:latin typeface="Abadi" panose="020B0604020104020204" pitchFamily="34" charset="0"/>
            </a:rPr>
            <a:t> Lua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EA1C70E2-A5C4-4A12-86A3-5F496B977E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5C34A7E4-B53B-4677-80D7-AE331BCCC5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F16B2A40-265E-46BD-8641-E55B97A969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9CA4BEF7-60B3-46B6-88A7-0A3C8C235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EEF6A762-15E1-4D85-97A4-6C68726D6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8AC83A40-9645-48C3-9ABD-EAB97DFE4F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33958571-5D73-48D9-877C-8F95EBE10C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105E734D-81D2-440C-9B41-0AAF56E76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1E7484E3-3FA8-486D-B1ED-0F1B9DF37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6A178389-F7BF-4692-ACE2-F5FB40208DE4}"/>
            </a:ext>
          </a:extLst>
        </xdr:cNvPr>
        <xdr:cNvSpPr/>
      </xdr:nvSpPr>
      <xdr:spPr>
        <a:xfrm>
          <a:off x="81643" y="2721429"/>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Eu Apanhei-Te</a:t>
          </a:r>
          <a:r>
            <a:rPr lang="pt-BR" sz="2400" b="1" baseline="0">
              <a:solidFill>
                <a:schemeClr val="tx1"/>
              </a:solidFill>
              <a:latin typeface="Abadi" panose="020B0604020104020204" pitchFamily="34" charset="0"/>
            </a:rPr>
            <a:t> Cavaquinho</a:t>
          </a:r>
          <a:endParaRPr lang="pt-BR" sz="2400" b="1">
            <a:solidFill>
              <a:schemeClr val="tx1"/>
            </a:solidFill>
            <a:latin typeface="Abadi" panose="020B0604020104020204" pitchFamily="34" charset="0"/>
          </a:endParaRP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002D5A9C-CE49-499F-A266-EBD47A8DF5F7}"/>
            </a:ext>
          </a:extLst>
        </xdr:cNvPr>
        <xdr:cNvSpPr/>
      </xdr:nvSpPr>
      <xdr:spPr>
        <a:xfrm>
          <a:off x="8806521" y="2724151"/>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Odeon</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ECD415BB-6F23-4171-9613-0B4AAF36CB53}"/>
            </a:ext>
          </a:extLst>
        </xdr:cNvPr>
        <xdr:cNvSpPr/>
      </xdr:nvSpPr>
      <xdr:spPr>
        <a:xfrm>
          <a:off x="4446800" y="2722790"/>
          <a:ext cx="3580061"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Brejeiro</a:t>
          </a:r>
          <a:endParaRPr lang="pt-BR" sz="2400" b="1" baseline="0">
            <a:solidFill>
              <a:schemeClr val="tx1"/>
            </a:solidFill>
            <a:latin typeface="Abadi" panose="020B0604020104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C4A876AC-577B-4312-932A-2534020E21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51253680-8967-4B36-82B5-A2BBF5DA9B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A51B05F4-9254-4577-84AA-CF694BCAB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3D1CD7CA-1534-43AF-A163-B8229BEB2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E8F1A94F-7FE8-477B-8A26-AFD83A48D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C6ACA403-1F0D-4AC6-BF46-0B6F0E96EA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653F0CBF-193C-4A26-BEED-568423853A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876399D0-75A9-4FD0-AF37-793E1C0665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4AD5DFE9-C2FD-465D-8EC7-A7DD47B36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DB1E2486-733B-4E0E-BA79-9E30F851FE02}"/>
            </a:ext>
          </a:extLst>
        </xdr:cNvPr>
        <xdr:cNvSpPr/>
      </xdr:nvSpPr>
      <xdr:spPr>
        <a:xfrm>
          <a:off x="81643" y="2721429"/>
          <a:ext cx="3592286"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Choro N°1</a:t>
          </a: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98074487-6AE8-4F9E-AE7C-23A89CA0677B}"/>
            </a:ext>
          </a:extLst>
        </xdr:cNvPr>
        <xdr:cNvSpPr/>
      </xdr:nvSpPr>
      <xdr:spPr>
        <a:xfrm>
          <a:off x="8784750" y="2720069"/>
          <a:ext cx="3585482"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Prelúdio</a:t>
          </a:r>
          <a:r>
            <a:rPr lang="pt-BR" sz="2400" b="1" baseline="0">
              <a:solidFill>
                <a:schemeClr val="tx1"/>
              </a:solidFill>
              <a:latin typeface="Abadi" panose="020B0604020104020204" pitchFamily="34" charset="0"/>
            </a:rPr>
            <a:t> N°1</a:t>
          </a: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5E091C91-930B-468A-B49A-33044EAFBD1D}"/>
            </a:ext>
          </a:extLst>
        </xdr:cNvPr>
        <xdr:cNvSpPr/>
      </xdr:nvSpPr>
      <xdr:spPr>
        <a:xfrm>
          <a:off x="4446800" y="2722790"/>
          <a:ext cx="3580061"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Estudo N°1</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68036</xdr:colOff>
      <xdr:row>18</xdr:row>
      <xdr:rowOff>72117</xdr:rowOff>
    </xdr:from>
    <xdr:to>
      <xdr:col>2</xdr:col>
      <xdr:colOff>1905000</xdr:colOff>
      <xdr:row>34</xdr:row>
      <xdr:rowOff>149678</xdr:rowOff>
    </xdr:to>
    <xdr:graphicFrame macro="">
      <xdr:nvGraphicFramePr>
        <xdr:cNvPr id="2" name="Gráfico 1">
          <a:extLst>
            <a:ext uri="{FF2B5EF4-FFF2-40B4-BE49-F238E27FC236}">
              <a16:creationId xmlns:a16="http://schemas.microsoft.com/office/drawing/2014/main" id="{BA4D3363-22EF-47E0-BA43-5286E60FE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13608</xdr:colOff>
      <xdr:row>18</xdr:row>
      <xdr:rowOff>81644</xdr:rowOff>
    </xdr:from>
    <xdr:to>
      <xdr:col>4</xdr:col>
      <xdr:colOff>1986643</xdr:colOff>
      <xdr:row>34</xdr:row>
      <xdr:rowOff>95250</xdr:rowOff>
    </xdr:to>
    <xdr:graphicFrame macro="">
      <xdr:nvGraphicFramePr>
        <xdr:cNvPr id="3" name="Gráfico 2">
          <a:extLst>
            <a:ext uri="{FF2B5EF4-FFF2-40B4-BE49-F238E27FC236}">
              <a16:creationId xmlns:a16="http://schemas.microsoft.com/office/drawing/2014/main" id="{DE698075-B4C3-40BD-80F5-0064C77B7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95250</xdr:colOff>
      <xdr:row>18</xdr:row>
      <xdr:rowOff>68033</xdr:rowOff>
    </xdr:from>
    <xdr:to>
      <xdr:col>6</xdr:col>
      <xdr:colOff>1959427</xdr:colOff>
      <xdr:row>34</xdr:row>
      <xdr:rowOff>81642</xdr:rowOff>
    </xdr:to>
    <xdr:graphicFrame macro="">
      <xdr:nvGraphicFramePr>
        <xdr:cNvPr id="4" name="Gráfico 3">
          <a:extLst>
            <a:ext uri="{FF2B5EF4-FFF2-40B4-BE49-F238E27FC236}">
              <a16:creationId xmlns:a16="http://schemas.microsoft.com/office/drawing/2014/main" id="{B17B8652-32FB-4D8D-8525-59C6719B8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68036</xdr:colOff>
      <xdr:row>45</xdr:row>
      <xdr:rowOff>72117</xdr:rowOff>
    </xdr:from>
    <xdr:to>
      <xdr:col>2</xdr:col>
      <xdr:colOff>1905000</xdr:colOff>
      <xdr:row>61</xdr:row>
      <xdr:rowOff>149678</xdr:rowOff>
    </xdr:to>
    <xdr:graphicFrame macro="">
      <xdr:nvGraphicFramePr>
        <xdr:cNvPr id="5" name="Gráfico 4">
          <a:extLst>
            <a:ext uri="{FF2B5EF4-FFF2-40B4-BE49-F238E27FC236}">
              <a16:creationId xmlns:a16="http://schemas.microsoft.com/office/drawing/2014/main" id="{536C8A22-396E-4D08-9CE3-D737363381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13608</xdr:colOff>
      <xdr:row>45</xdr:row>
      <xdr:rowOff>81644</xdr:rowOff>
    </xdr:from>
    <xdr:to>
      <xdr:col>4</xdr:col>
      <xdr:colOff>1986643</xdr:colOff>
      <xdr:row>61</xdr:row>
      <xdr:rowOff>95250</xdr:rowOff>
    </xdr:to>
    <xdr:graphicFrame macro="">
      <xdr:nvGraphicFramePr>
        <xdr:cNvPr id="6" name="Gráfico 5">
          <a:extLst>
            <a:ext uri="{FF2B5EF4-FFF2-40B4-BE49-F238E27FC236}">
              <a16:creationId xmlns:a16="http://schemas.microsoft.com/office/drawing/2014/main" id="{65D9FF53-2881-4751-AC17-458B6D61C9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xdr:colOff>
      <xdr:row>45</xdr:row>
      <xdr:rowOff>68033</xdr:rowOff>
    </xdr:from>
    <xdr:to>
      <xdr:col>6</xdr:col>
      <xdr:colOff>1959427</xdr:colOff>
      <xdr:row>61</xdr:row>
      <xdr:rowOff>81642</xdr:rowOff>
    </xdr:to>
    <xdr:graphicFrame macro="">
      <xdr:nvGraphicFramePr>
        <xdr:cNvPr id="7" name="Gráfico 6">
          <a:extLst>
            <a:ext uri="{FF2B5EF4-FFF2-40B4-BE49-F238E27FC236}">
              <a16:creationId xmlns:a16="http://schemas.microsoft.com/office/drawing/2014/main" id="{FA8213F3-4629-4F37-9D44-59F660ADD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68036</xdr:colOff>
      <xdr:row>72</xdr:row>
      <xdr:rowOff>72117</xdr:rowOff>
    </xdr:from>
    <xdr:to>
      <xdr:col>2</xdr:col>
      <xdr:colOff>1905000</xdr:colOff>
      <xdr:row>88</xdr:row>
      <xdr:rowOff>149678</xdr:rowOff>
    </xdr:to>
    <xdr:graphicFrame macro="">
      <xdr:nvGraphicFramePr>
        <xdr:cNvPr id="8" name="Gráfico 7">
          <a:extLst>
            <a:ext uri="{FF2B5EF4-FFF2-40B4-BE49-F238E27FC236}">
              <a16:creationId xmlns:a16="http://schemas.microsoft.com/office/drawing/2014/main" id="{7215C959-F286-4D9C-AE70-7448542B1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13608</xdr:colOff>
      <xdr:row>72</xdr:row>
      <xdr:rowOff>81644</xdr:rowOff>
    </xdr:from>
    <xdr:to>
      <xdr:col>4</xdr:col>
      <xdr:colOff>1986643</xdr:colOff>
      <xdr:row>88</xdr:row>
      <xdr:rowOff>95250</xdr:rowOff>
    </xdr:to>
    <xdr:graphicFrame macro="">
      <xdr:nvGraphicFramePr>
        <xdr:cNvPr id="9" name="Gráfico 8">
          <a:extLst>
            <a:ext uri="{FF2B5EF4-FFF2-40B4-BE49-F238E27FC236}">
              <a16:creationId xmlns:a16="http://schemas.microsoft.com/office/drawing/2014/main" id="{2C354448-EF6A-4715-B574-FB4F87DC7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95250</xdr:colOff>
      <xdr:row>72</xdr:row>
      <xdr:rowOff>68033</xdr:rowOff>
    </xdr:from>
    <xdr:to>
      <xdr:col>6</xdr:col>
      <xdr:colOff>1959427</xdr:colOff>
      <xdr:row>88</xdr:row>
      <xdr:rowOff>81642</xdr:rowOff>
    </xdr:to>
    <xdr:graphicFrame macro="">
      <xdr:nvGraphicFramePr>
        <xdr:cNvPr id="10" name="Gráfico 9">
          <a:extLst>
            <a:ext uri="{FF2B5EF4-FFF2-40B4-BE49-F238E27FC236}">
              <a16:creationId xmlns:a16="http://schemas.microsoft.com/office/drawing/2014/main" id="{239F62A5-F416-4F20-8666-FAC91B6B2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81643</xdr:colOff>
      <xdr:row>5</xdr:row>
      <xdr:rowOff>421822</xdr:rowOff>
    </xdr:from>
    <xdr:to>
      <xdr:col>2</xdr:col>
      <xdr:colOff>1510393</xdr:colOff>
      <xdr:row>7</xdr:row>
      <xdr:rowOff>408214</xdr:rowOff>
    </xdr:to>
    <xdr:sp macro="" textlink="">
      <xdr:nvSpPr>
        <xdr:cNvPr id="11" name="Retângulo 10">
          <a:hlinkClick xmlns:r="http://schemas.openxmlformats.org/officeDocument/2006/relationships" r:id="rId10"/>
          <a:extLst>
            <a:ext uri="{FF2B5EF4-FFF2-40B4-BE49-F238E27FC236}">
              <a16:creationId xmlns:a16="http://schemas.microsoft.com/office/drawing/2014/main" id="{C423C9B7-217A-4C50-A01A-C1805B8D8FD5}"/>
            </a:ext>
          </a:extLst>
        </xdr:cNvPr>
        <xdr:cNvSpPr/>
      </xdr:nvSpPr>
      <xdr:spPr>
        <a:xfrm>
          <a:off x="81643" y="2717347"/>
          <a:ext cx="3590925"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Eu</a:t>
          </a:r>
          <a:r>
            <a:rPr lang="pt-BR" sz="2400" b="1" baseline="0">
              <a:solidFill>
                <a:schemeClr val="tx1"/>
              </a:solidFill>
              <a:latin typeface="Abadi" panose="020B0604020104020204" pitchFamily="34" charset="0"/>
            </a:rPr>
            <a:t> Sei Que Vou Te Amar</a:t>
          </a:r>
          <a:endParaRPr lang="pt-BR" sz="2400" b="1">
            <a:solidFill>
              <a:schemeClr val="tx1"/>
            </a:solidFill>
            <a:latin typeface="Abadi" panose="020B0604020104020204" pitchFamily="34" charset="0"/>
          </a:endParaRPr>
        </a:p>
      </xdr:txBody>
    </xdr:sp>
    <xdr:clientData/>
  </xdr:twoCellAnchor>
  <xdr:twoCellAnchor>
    <xdr:from>
      <xdr:col>5</xdr:col>
      <xdr:colOff>478950</xdr:colOff>
      <xdr:row>5</xdr:row>
      <xdr:rowOff>424544</xdr:rowOff>
    </xdr:from>
    <xdr:to>
      <xdr:col>6</xdr:col>
      <xdr:colOff>2016557</xdr:colOff>
      <xdr:row>7</xdr:row>
      <xdr:rowOff>410936</xdr:rowOff>
    </xdr:to>
    <xdr:sp macro="" textlink="">
      <xdr:nvSpPr>
        <xdr:cNvPr id="12" name="Retângulo 11">
          <a:hlinkClick xmlns:r="http://schemas.openxmlformats.org/officeDocument/2006/relationships" r:id="rId11"/>
          <a:extLst>
            <a:ext uri="{FF2B5EF4-FFF2-40B4-BE49-F238E27FC236}">
              <a16:creationId xmlns:a16="http://schemas.microsoft.com/office/drawing/2014/main" id="{ECB1C2DE-DC20-4302-813B-4D4182377AD6}"/>
            </a:ext>
          </a:extLst>
        </xdr:cNvPr>
        <xdr:cNvSpPr/>
      </xdr:nvSpPr>
      <xdr:spPr>
        <a:xfrm>
          <a:off x="8784750" y="2720069"/>
          <a:ext cx="3585482" cy="1148442"/>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Wave</a:t>
          </a:r>
          <a:endParaRPr lang="pt-BR" sz="2400" b="1" baseline="0">
            <a:solidFill>
              <a:schemeClr val="tx1"/>
            </a:solidFill>
            <a:latin typeface="Abadi" panose="020B0604020104020204" pitchFamily="34" charset="0"/>
          </a:endParaRPr>
        </a:p>
      </xdr:txBody>
    </xdr:sp>
    <xdr:clientData/>
  </xdr:twoCellAnchor>
  <xdr:twoCellAnchor>
    <xdr:from>
      <xdr:col>3</xdr:col>
      <xdr:colOff>236750</xdr:colOff>
      <xdr:row>5</xdr:row>
      <xdr:rowOff>427265</xdr:rowOff>
    </xdr:from>
    <xdr:to>
      <xdr:col>4</xdr:col>
      <xdr:colOff>1768936</xdr:colOff>
      <xdr:row>7</xdr:row>
      <xdr:rowOff>413657</xdr:rowOff>
    </xdr:to>
    <xdr:sp macro="" textlink="">
      <xdr:nvSpPr>
        <xdr:cNvPr id="13" name="Retângulo 12">
          <a:hlinkClick xmlns:r="http://schemas.openxmlformats.org/officeDocument/2006/relationships" r:id="rId12"/>
          <a:extLst>
            <a:ext uri="{FF2B5EF4-FFF2-40B4-BE49-F238E27FC236}">
              <a16:creationId xmlns:a16="http://schemas.microsoft.com/office/drawing/2014/main" id="{08CC65DB-A1A2-4269-8F35-3F258E5F19A3}"/>
            </a:ext>
          </a:extLst>
        </xdr:cNvPr>
        <xdr:cNvSpPr/>
      </xdr:nvSpPr>
      <xdr:spPr>
        <a:xfrm>
          <a:off x="4454964" y="2726872"/>
          <a:ext cx="3586865" cy="1156606"/>
        </a:xfrm>
        <a:prstGeom prst="rect">
          <a:avLst/>
        </a:prstGeom>
        <a:solidFill>
          <a:schemeClr val="bg1">
            <a:lumMod val="95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latin typeface="Abadi" panose="020B0604020104020204" pitchFamily="34" charset="0"/>
            </a:rPr>
            <a:t>Garota de</a:t>
          </a:r>
          <a:r>
            <a:rPr lang="pt-BR" sz="2400" b="1" baseline="0">
              <a:solidFill>
                <a:schemeClr val="tx1"/>
              </a:solidFill>
              <a:latin typeface="Abadi" panose="020B0604020104020204" pitchFamily="34" charset="0"/>
            </a:rPr>
            <a:t> Ipanema</a:t>
          </a:r>
          <a:endParaRPr lang="pt-BR" sz="2400" b="1">
            <a:solidFill>
              <a:schemeClr val="tx1"/>
            </a:solidFill>
            <a:latin typeface="Abadi" panose="020B0604020104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ndrew\Documents\Documentos%20Pessoais\pim\Menu\Artistas\Caetano%20Veloso\AlegriaAlegria\pergAlegriaAlegria.csv" TargetMode="External"/><Relationship Id="rId1" Type="http://schemas.openxmlformats.org/officeDocument/2006/relationships/externalLinkPath" Target="Artistas/Caetano%20Veloso/AlegriaAlegria/pergAlegriaAlegria.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ergAlegriaAlegria"/>
    </sheetNames>
    <sheetDataSet>
      <sheetData sheetId="0" refreshError="1">
        <row r="1">
          <cell r="B1" t="str">
            <v>Você sabia que "Alegria, Alegria" é uma das músicas mais emblemáticas do movimento tropicalista no Brasil?</v>
          </cell>
        </row>
        <row r="3">
          <cell r="D3" t="str">
            <v xml:space="preserve">Não, me conte mais. </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drew" refreshedDate="45258.95822685185" createdVersion="8" refreshedVersion="8" minRefreshableVersion="3" recordCount="15" xr:uid="{DFE375A8-B8B3-4F22-B7DB-CBF75F08AE49}">
  <cacheSource type="worksheet">
    <worksheetSource ref="L1:N16" sheet="BancoDeDados"/>
  </cacheSource>
  <cacheFields count="3">
    <cacheField name="Artista" numFmtId="0">
      <sharedItems count="5">
        <s v="Caetano Veloso"/>
        <s v="Dilermando Reis"/>
        <s v="Ernesto Nazareth"/>
        <s v="Heitor Villa-Lobos"/>
        <s v="Tom Jobim"/>
      </sharedItems>
    </cacheField>
    <cacheField name="Musica" numFmtId="0">
      <sharedItems count="15">
        <s v="Alegria Alegria"/>
        <s v="Coração Vagabundo"/>
        <s v="Desde Samba"/>
        <s v="Abismo de Rosas"/>
        <s v="Noite de Lua"/>
        <s v="Se Ela Perguntar"/>
        <s v="Apanhei Te Cavaquinho"/>
        <s v="Brejero"/>
        <s v="Odeon"/>
        <s v="Choro N1"/>
        <s v="Estudo N1"/>
        <s v="Preludio N1"/>
        <s v="Eu Sei Que Vou Te Amar"/>
        <s v="Garota de Ipanema"/>
        <s v="Wave"/>
      </sharedItems>
    </cacheField>
    <cacheField name="Qtd" numFmtId="0">
      <sharedItems containsSemiMixedTypes="0" containsString="0" containsNumber="1" containsInteger="1" minValue="1" maxValue="8"/>
    </cacheField>
  </cacheFields>
  <extLst>
    <ext xmlns:x14="http://schemas.microsoft.com/office/spreadsheetml/2009/9/main" uri="{725AE2AE-9491-48be-B2B4-4EB974FC3084}">
      <x14:pivotCacheDefinition pivotCacheId="18980385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drew" refreshedDate="45258.95822685185" createdVersion="8" refreshedVersion="8" minRefreshableVersion="3" recordCount="16" xr:uid="{DB82C9A4-DD54-4BF5-9BD7-11118950E09A}">
  <cacheSource type="worksheet">
    <worksheetSource ref="D1:H1048576" sheet="BancoDeDados"/>
  </cacheSource>
  <cacheFields count="5">
    <cacheField name="Ernesto Nazareth" numFmtId="0">
      <sharedItems containsString="0" containsBlank="1" containsNumber="1" containsInteger="1" minValue="0" maxValue="1"/>
    </cacheField>
    <cacheField name="Dilermando Reis" numFmtId="0">
      <sharedItems containsString="0" containsBlank="1" containsNumber="1" containsInteger="1" minValue="0" maxValue="1"/>
    </cacheField>
    <cacheField name="Heitor Villa-Lobos" numFmtId="0">
      <sharedItems containsString="0" containsBlank="1" containsNumber="1" containsInteger="1" minValue="0" maxValue="1"/>
    </cacheField>
    <cacheField name="Caetano Veloso" numFmtId="0">
      <sharedItems containsString="0" containsBlank="1" containsNumber="1" containsInteger="1" minValue="1" maxValue="1"/>
    </cacheField>
    <cacheField name="Tom Jobim" numFmtId="0">
      <sharedItems containsString="0" containsBlank="1"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8"/>
  </r>
  <r>
    <x v="0"/>
    <x v="1"/>
    <n v="4"/>
  </r>
  <r>
    <x v="0"/>
    <x v="2"/>
    <n v="4"/>
  </r>
  <r>
    <x v="1"/>
    <x v="3"/>
    <n v="4"/>
  </r>
  <r>
    <x v="1"/>
    <x v="4"/>
    <n v="1"/>
  </r>
  <r>
    <x v="1"/>
    <x v="5"/>
    <n v="3"/>
  </r>
  <r>
    <x v="2"/>
    <x v="6"/>
    <n v="7"/>
  </r>
  <r>
    <x v="2"/>
    <x v="7"/>
    <n v="6"/>
  </r>
  <r>
    <x v="2"/>
    <x v="8"/>
    <n v="3"/>
  </r>
  <r>
    <x v="3"/>
    <x v="9"/>
    <n v="1"/>
  </r>
  <r>
    <x v="3"/>
    <x v="10"/>
    <n v="1"/>
  </r>
  <r>
    <x v="3"/>
    <x v="11"/>
    <n v="1"/>
  </r>
  <r>
    <x v="4"/>
    <x v="12"/>
    <n v="4"/>
  </r>
  <r>
    <x v="4"/>
    <x v="13"/>
    <n v="4"/>
  </r>
  <r>
    <x v="4"/>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n v="0"/>
    <n v="0"/>
    <n v="0"/>
    <n v="1"/>
    <n v="1"/>
  </r>
  <r>
    <n v="0"/>
    <n v="0"/>
    <n v="0"/>
    <n v="1"/>
    <n v="1"/>
  </r>
  <r>
    <n v="0"/>
    <n v="0"/>
    <n v="0"/>
    <n v="1"/>
    <n v="1"/>
  </r>
  <r>
    <n v="0"/>
    <n v="0"/>
    <n v="0"/>
    <n v="1"/>
    <n v="0"/>
  </r>
  <r>
    <n v="0"/>
    <n v="0"/>
    <n v="0"/>
    <n v="1"/>
    <n v="0"/>
  </r>
  <r>
    <n v="0"/>
    <n v="0"/>
    <n v="0"/>
    <n v="1"/>
    <n v="0"/>
  </r>
  <r>
    <n v="1"/>
    <n v="1"/>
    <n v="1"/>
    <n v="1"/>
    <n v="1"/>
  </r>
  <r>
    <m/>
    <m/>
    <m/>
    <m/>
    <m/>
  </r>
  <r>
    <m/>
    <m/>
    <m/>
    <m/>
    <m/>
  </r>
  <r>
    <m/>
    <m/>
    <m/>
    <m/>
    <m/>
  </r>
  <r>
    <m/>
    <m/>
    <m/>
    <m/>
    <m/>
  </r>
  <r>
    <m/>
    <m/>
    <m/>
    <m/>
    <m/>
  </r>
  <r>
    <m/>
    <m/>
    <m/>
    <m/>
    <m/>
  </r>
  <r>
    <m/>
    <m/>
    <m/>
    <m/>
    <m/>
  </r>
  <r>
    <m/>
    <m/>
    <m/>
    <m/>
    <m/>
  </r>
  <r>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997296-2264-4D3C-AE82-A002ABCCFAD0}" name="Tabela dinâmica1" cacheId="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L18:M22" firstHeaderRow="1" firstDataRow="1" firstDataCol="1"/>
  <pivotFields count="3">
    <pivotField showAll="0">
      <items count="6">
        <item h="1" x="0"/>
        <item h="1" x="1"/>
        <item x="2"/>
        <item h="1" x="3"/>
        <item h="1" x="4"/>
        <item t="default"/>
      </items>
    </pivotField>
    <pivotField axis="axisRow" showAll="0" sortType="ascending">
      <items count="16">
        <item x="3"/>
        <item x="0"/>
        <item x="6"/>
        <item x="7"/>
        <item x="9"/>
        <item x="1"/>
        <item x="2"/>
        <item x="10"/>
        <item x="12"/>
        <item x="13"/>
        <item x="4"/>
        <item x="8"/>
        <item x="11"/>
        <item x="5"/>
        <item x="14"/>
        <item t="default"/>
      </items>
    </pivotField>
    <pivotField dataField="1" showAll="0"/>
  </pivotFields>
  <rowFields count="1">
    <field x="1"/>
  </rowFields>
  <rowItems count="4">
    <i>
      <x v="2"/>
    </i>
    <i>
      <x v="3"/>
    </i>
    <i>
      <x v="11"/>
    </i>
    <i t="grand">
      <x/>
    </i>
  </rowItems>
  <colItems count="1">
    <i/>
  </colItems>
  <dataFields count="1">
    <dataField name="Soma de Qtd" fld="2" baseField="0" baseItem="0"/>
  </dataFields>
  <chartFormats count="7">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8"/>
          </reference>
        </references>
      </pivotArea>
    </chartFormat>
    <chartFormat chart="3" format="7">
      <pivotArea type="data" outline="0" fieldPosition="0">
        <references count="2">
          <reference field="4294967294" count="1" selected="0">
            <x v="0"/>
          </reference>
          <reference field="1" count="1" selected="0">
            <x v="9"/>
          </reference>
        </references>
      </pivotArea>
    </chartFormat>
    <chartFormat chart="3" format="8">
      <pivotArea type="data" outline="0" fieldPosition="0">
        <references count="2">
          <reference field="4294967294" count="1" selected="0">
            <x v="0"/>
          </reference>
          <reference field="1" count="1" selected="0">
            <x v="14"/>
          </reference>
        </references>
      </pivotArea>
    </chartFormat>
    <chartFormat chart="3" format="9" series="1">
      <pivotArea type="data" outline="0" fieldPosition="0">
        <references count="2">
          <reference field="4294967294" count="1" selected="0">
            <x v="0"/>
          </reference>
          <reference field="1" count="1" selected="0">
            <x v="5"/>
          </reference>
        </references>
      </pivotArea>
    </chartFormat>
    <chartFormat chart="3" format="10" series="1">
      <pivotArea type="data" outline="0" fieldPosition="0">
        <references count="2">
          <reference field="4294967294" count="1" selected="0">
            <x v="0"/>
          </reference>
          <reference field="1" count="1" selected="0">
            <x v="6"/>
          </reference>
        </references>
      </pivotArea>
    </chartFormat>
    <chartFormat chart="3" format="1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E3F52D-68F4-4A4E-A3A1-9330913CC1A6}" name="Tabela dinâmica3"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2:J23" firstHeaderRow="1" firstDataRow="1" firstDataCol="0"/>
  <pivotFields count="5">
    <pivotField showAll="0"/>
    <pivotField showAll="0"/>
    <pivotField showAll="0"/>
    <pivotField dataField="1" showAll="0"/>
    <pivotField showAll="0"/>
  </pivotFields>
  <rowItems count="1">
    <i/>
  </rowItems>
  <colItems count="1">
    <i/>
  </colItems>
  <dataFields count="1">
    <dataField name="Soma de Caetano Veloso"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A18C87-2BF0-45A1-8FF7-9E91086EDA0E}" name="Tabela dinâmica4"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showAll="0"/>
    <pivotField dataField="1" showAll="0"/>
    <pivotField showAll="0"/>
    <pivotField showAll="0"/>
    <pivotField showAll="0"/>
  </pivotFields>
  <rowItems count="1">
    <i/>
  </rowItems>
  <colItems count="1">
    <i/>
  </colItems>
  <dataFields count="1">
    <dataField name="Soma de Dilermando Reis"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3B8FA0-B372-4564-B56D-4BD05B5809B5}" name="Tabela dinâmica8"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dataField="1" showAll="0"/>
    <pivotField showAll="0"/>
    <pivotField showAll="0"/>
    <pivotField showAll="0"/>
    <pivotField showAll="0"/>
  </pivotFields>
  <rowItems count="1">
    <i/>
  </rowItems>
  <colItems count="1">
    <i/>
  </colItems>
  <dataFields count="1">
    <dataField name="Soma de Ernesto Nazareth"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9E74375-2BFA-4D30-85D7-80E6C2AD6732}" name="Tabela dinâmica9"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showAll="0"/>
    <pivotField showAll="0"/>
    <pivotField dataField="1" showAll="0"/>
    <pivotField showAll="0"/>
    <pivotField showAll="0"/>
  </pivotFields>
  <rowItems count="1">
    <i/>
  </rowItems>
  <colItems count="1">
    <i/>
  </colItems>
  <dataFields count="1">
    <dataField name="Soma de Heitor Villa-Lobo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B0B9FA-7833-45A1-8248-4D089AECE635}" name="Tabela dinâmica10"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J20:J21" firstHeaderRow="1" firstDataRow="1" firstDataCol="0"/>
  <pivotFields count="5">
    <pivotField showAll="0"/>
    <pivotField showAll="0"/>
    <pivotField showAll="0"/>
    <pivotField showAll="0"/>
    <pivotField dataField="1" showAll="0"/>
  </pivotFields>
  <rowItems count="1">
    <i/>
  </rowItems>
  <colItems count="1">
    <i/>
  </colItems>
  <dataFields count="1">
    <dataField name="Soma de Tom Jobim"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0483981B-02E8-419E-A3B0-E7083436A213}" autoFormatId="16" applyNumberFormats="0" applyBorderFormats="0" applyFontFormats="0" applyPatternFormats="0" applyAlignmentFormats="0" applyWidthHeightFormats="0">
  <queryTableRefresh nextId="12">
    <queryTableFields count="10">
      <queryTableField id="1" name="Nome" tableColumnId="1"/>
      <queryTableField id="2" name="Data de nascimento" tableColumnId="2"/>
      <queryTableField id="10" name="Idades" tableColumnId="10"/>
      <queryTableField id="3" name="Ernesto Nazareth" tableColumnId="3"/>
      <queryTableField id="4" name="Dilermando Reis" tableColumnId="4"/>
      <queryTableField id="5" name="Heitor Villa-Lobos" tableColumnId="5"/>
      <queryTableField id="6" name="Caetano Veloso" tableColumnId="6"/>
      <queryTableField id="7" name="Tom Jobim" tableColumnId="7"/>
      <queryTableField id="8" name="Modaliade de Ingresso" tableColumnId="8"/>
      <queryTableField id="9" name="Método de Pagamento"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19" xr16:uid="{F75DFB62-D48B-4339-ABCB-96BBC29B022F}"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2" connectionId="23" xr16:uid="{60E7E80D-ABBC-4E8D-B883-C2D94ACC6851}"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3" connectionId="24" xr16:uid="{6CBB4810-7D5B-4D44-BE9D-9606A1ABDD9A}"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4" connectionId="3" xr16:uid="{F93C81EC-23A2-4C11-A9C6-1C8D735D6618}"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5" connectionId="7" xr16:uid="{93FDC35E-FDC2-4A60-9DAD-230B135D1B94}"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6" connectionId="8" xr16:uid="{0718E6EA-8A5C-4253-A4EB-FED807F7C7B3}"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connectionId="18" xr16:uid="{E7E4FCDD-BB03-4834-B5E1-4D00F806947E}"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dosExternos_2" connectionId="28" xr16:uid="{048C8E58-7B5D-4C1B-B099-21ED7E2452B8}"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dosExternos_3" connectionId="32" xr16:uid="{49755E21-AAB2-4DE0-8D3E-F72E50D1C144}"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dosExternos_4" connectionId="2" xr16:uid="{9D9A5D03-F493-477D-9390-F5E3F1E6FCC1}"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dosExternos_5" connectionId="12" xr16:uid="{F81CA8CD-412E-4956-B51E-AAF8787DCAFA}"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dosExternos_6" connectionId="15" xr16:uid="{E38C3DE5-80B5-4650-A7FB-3DE6D71CCC43}"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dosExternos_1" connectionId="20" xr16:uid="{909A0BF6-77CA-4C77-9EC3-3E07A65A45AE}"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dosExternos_2" connectionId="21" xr16:uid="{F7AFF750-67C7-45EC-A053-7747CD322A4C}"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dosExternos_3" connectionId="29" xr16:uid="{157565A4-F836-4C8A-860D-CE6B7F54A99C}"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dosExternos_4" connectionId="4" xr16:uid="{C50A835D-A58D-4EAC-861B-D5CA6ED1C696}"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dosExternos_5" connectionId="5" xr16:uid="{A11386BC-996F-47C7-9B8C-8ED47EDB1D05}"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dosExternos_6" connectionId="13" xr16:uid="{8DD16327-AFB8-46E1-9EAC-E32B75A46274}"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dosExternos_1" connectionId="22" xr16:uid="{4957AD96-6A80-4B73-8F45-39BE89FC2A93}"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dosExternos_2" connectionId="25" xr16:uid="{5AC9ED8B-7F57-441F-B2B3-AC2129FA3AED}"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dosExternos_3" connectionId="30" xr16:uid="{0D5111B1-D8FF-4545-AD59-5C3D80DAC574}"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dosExternos_4" connectionId="6" xr16:uid="{F2E03AF6-2B1E-48B1-8054-AE771ABD111F}"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dosExternos_5" connectionId="9" xr16:uid="{9805442D-5503-4EFF-8EB1-075CC02247EE}"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dosExternos_6" connectionId="14" xr16:uid="{BE19D1C9-5B4E-4B49-A568-C7C4A049AD25}"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dosExternos_1" connectionId="26" xr16:uid="{44DCB2C6-4F17-4190-B9C0-C7DF1DDC27D1}"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dosExternos_2" connectionId="27" xr16:uid="{E1150F9B-B1C3-4E60-85B5-F19D9614866E}"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dosExternos_3" connectionId="33" xr16:uid="{1312A7FB-38F2-4EED-8A0E-D6645D0C0E00}" autoFormatId="16" applyNumberFormats="0" applyBorderFormats="0" applyFontFormats="0" applyPatternFormats="0" applyAlignmentFormats="0" applyWidthHeightFormats="0">
  <queryTableRefresh nextId="3">
    <queryTableFields count="2">
      <queryTableField id="1" name="Identificação" tableColumnId="1"/>
      <queryTableField id="2" name="Resposta"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dosExternos_4" connectionId="10" xr16:uid="{C97BFB9D-022D-462D-88E7-21F231539AA7}" autoFormatId="16" applyNumberFormats="0" applyBorderFormats="0" applyFontFormats="0" applyPatternFormats="0" applyAlignmentFormats="0" applyWidthHeightFormats="0">
  <queryTableRefresh nextId="9">
    <queryTableFields count="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dosExternos_5" connectionId="11" xr16:uid="{F867101A-45E5-4B46-884C-8CAB4AABE548}"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dosExternos_6" connectionId="17" xr16:uid="{5F628559-551A-4104-AED2-2E63626A4A9B}" autoFormatId="16" applyNumberFormats="0" applyBorderFormats="0" applyFontFormats="0" applyPatternFormats="0" applyAlignmentFormats="0" applyWidthHeightFormats="0">
  <queryTableRefresh nextId="6">
    <queryTableFields count="5">
      <queryTableField id="1" name="Column1" tableColumnId="1"/>
      <queryTableField id="2" name="Column2" tableColumnId="2"/>
      <queryTableField id="3" name="Column3" tableColumnId="3"/>
      <queryTableField id="4" name="Column4" tableColumnId="4"/>
      <queryTableField id="5" name="Column5"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rtista" xr10:uid="{FC5223C8-0614-4B63-B4B5-8F161EFEDAE8}" sourceName="Artista">
  <pivotTables>
    <pivotTable tabId="25" name="Tabela dinâmica1"/>
  </pivotTables>
  <data>
    <tabular pivotCacheId="1898038589">
      <items count="5">
        <i x="0"/>
        <i x="1"/>
        <i x="2" s="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a 1" xr10:uid="{FAA2D04E-595E-4432-B1AD-F9825D188295}" cache="SegmentaçãodeDados_Artista" caption="Artista" style="a" rowHeight="43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9670DBF-4C46-4961-BD47-50518462A566}" name="BancoDeDados" displayName="BancoDeDados" ref="A1:J9" tableType="queryTable">
  <autoFilter ref="A1:J9" xr:uid="{29670DBF-4C46-4961-BD47-50518462A566}"/>
  <tableColumns count="10">
    <tableColumn id="1" xr3:uid="{CA2A3936-D405-4C60-9B2A-FF56AF7D8F32}" uniqueName="1" name="Nome" totalsRowLabel="Total" queryTableFieldId="1" dataDxfId="3"/>
    <tableColumn id="2" xr3:uid="{2F5AB0EC-13EA-4330-BF40-06EBF5334A1F}" uniqueName="2" name="Data de nascimento" queryTableFieldId="2" dataDxfId="2"/>
    <tableColumn id="10" xr3:uid="{064147A6-3D2E-45EF-ABAB-ED9365A93452}" uniqueName="10" name="Idades" queryTableFieldId="10"/>
    <tableColumn id="3" xr3:uid="{9CFC4FFA-C765-4FC2-B084-668194172530}" uniqueName="3" name="Ernesto Nazareth" queryTableFieldId="3"/>
    <tableColumn id="4" xr3:uid="{DBF184F8-FFB6-4FC1-82D4-D3C035CB9181}" uniqueName="4" name="Dilermando Reis" queryTableFieldId="4"/>
    <tableColumn id="5" xr3:uid="{63792A9B-48CB-4563-843A-460C028FC902}" uniqueName="5" name="Heitor Villa-Lobos" queryTableFieldId="5"/>
    <tableColumn id="6" xr3:uid="{71C144DF-0A31-47D4-A77B-F63CB4383B14}" uniqueName="6" name="Caetano Veloso" queryTableFieldId="6"/>
    <tableColumn id="7" xr3:uid="{1CF8EDFD-13B8-4D79-B7ED-DB05519010B7}" uniqueName="7" name="Tom Jobim" queryTableFieldId="7"/>
    <tableColumn id="8" xr3:uid="{716AB29F-BF9F-4C29-AB48-C51C72CF78F5}" uniqueName="8" name="Modaliade de Ingresso" queryTableFieldId="8" dataDxfId="1"/>
    <tableColumn id="9" xr3:uid="{0AF41EC0-41E3-4CE7-BBA7-48D75B6C94F5}" uniqueName="9" name="Método de Pagamento" totalsRowFunction="count"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8DDF00-4D15-4FBF-885F-4DF071B0873D}" name="respAlegriaAlegria" displayName="respAlegriaAlegria" ref="A2:B26" tableType="queryTable" totalsRowShown="0">
  <autoFilter ref="A2:B26" xr:uid="{D58DDF00-4D15-4FBF-885F-4DF071B0873D}"/>
  <tableColumns count="2">
    <tableColumn id="1" xr3:uid="{1ACF8191-C4D6-4217-8683-4E6F3CA680F8}" uniqueName="1" name="Column1" queryTableFieldId="1"/>
    <tableColumn id="2" xr3:uid="{2EE53A69-405A-4E9B-8855-B1A8AF9E4EED}" uniqueName="2" name="Column2"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545D65-DC5E-4B3E-A15B-588D3896203C}" name="respCoraçãoVagabundo" displayName="respCoraçãoVagabundo" ref="D2:E14" tableType="queryTable" totalsRowShown="0">
  <autoFilter ref="D2:E14" xr:uid="{2E545D65-DC5E-4B3E-A15B-588D3896203C}"/>
  <tableColumns count="2">
    <tableColumn id="1" xr3:uid="{921C6AA0-20EA-4D2F-8F71-B1F9F791CCC4}" uniqueName="1" name="Column1" queryTableFieldId="1"/>
    <tableColumn id="2" xr3:uid="{AA4A230E-7AE3-47D9-ADDB-1169CF9047A4}" uniqueName="2" name="Column2"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407580-EB21-4D48-8565-689B03586FA0}" name="respDesdeSamba__2" displayName="respDesdeSamba__2" ref="G2:H14" tableType="queryTable" totalsRowShown="0">
  <autoFilter ref="G2:H14" xr:uid="{0A407580-EB21-4D48-8565-689B03586FA0}"/>
  <tableColumns count="2">
    <tableColumn id="1" xr3:uid="{7228F506-2B74-40CC-9F07-74CB60DE13E2}" uniqueName="1" name="Identificação" queryTableFieldId="1"/>
    <tableColumn id="2" xr3:uid="{BBC7AE6D-FCF1-4E8C-A954-ED85E316DFA0}" uniqueName="2" name="Resposta"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EBD5C6-22EE-4C0E-807F-83D0FB0F5726}" name="pergAlegriaAlegria" displayName="pergAlegriaAlegria" ref="J2:O6" tableType="queryTable" totalsRowShown="0">
  <autoFilter ref="J2:O6" xr:uid="{63EBD5C6-22EE-4C0E-807F-83D0FB0F5726}"/>
  <tableColumns count="6">
    <tableColumn id="1" xr3:uid="{2654A3A0-5E9F-42AD-B876-A1F94615E8E6}" uniqueName="1" name="Column1" queryTableFieldId="1" dataDxfId="100"/>
    <tableColumn id="2" xr3:uid="{DB7554A0-49D0-4B17-B895-31144F18278B}" uniqueName="2" name="Column2" queryTableFieldId="2" dataDxfId="99"/>
    <tableColumn id="3" xr3:uid="{E56BD444-D46A-4EC5-88FA-056C1EDD5E6A}" uniqueName="3" name="Column3" queryTableFieldId="3" dataDxfId="98"/>
    <tableColumn id="4" xr3:uid="{AEF86C41-F203-4546-B5B5-FB5CC766C86D}" uniqueName="4" name="Column4" queryTableFieldId="4" dataDxfId="97"/>
    <tableColumn id="5" xr3:uid="{85BC40F5-C09B-4202-8F31-7C2EB8DE6A56}" uniqueName="5" name="Column5" queryTableFieldId="5" dataDxfId="96"/>
    <tableColumn id="6" xr3:uid="{BF2AE4E2-C4C6-4F87-A701-7A825C6C08CB}" uniqueName="6" name="Column6" queryTableFieldId="6" dataDxfId="9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F5B62D-C5E3-4067-87BB-96ED1BF77E0D}" name="pergCoraçãoVagabundo" displayName="pergCoraçãoVagabundo" ref="J9:O13" tableType="queryTable" totalsRowShown="0">
  <autoFilter ref="J9:O13" xr:uid="{4EF5B62D-C5E3-4067-87BB-96ED1BF77E0D}"/>
  <tableColumns count="6">
    <tableColumn id="1" xr3:uid="{20126B08-9713-4E78-8C36-E1F787B4DD12}" uniqueName="1" name="Column1" queryTableFieldId="1" dataDxfId="94"/>
    <tableColumn id="2" xr3:uid="{E6E23A60-DD4B-4E7A-934E-8D7689A0C672}" uniqueName="2" name="Column2" queryTableFieldId="2" dataDxfId="93"/>
    <tableColumn id="3" xr3:uid="{97D7C649-B652-4B9E-8010-ACE5564FDF52}" uniqueName="3" name="Column3" queryTableFieldId="3" dataDxfId="92"/>
    <tableColumn id="4" xr3:uid="{AD36DA01-F890-4134-99C7-3C77155D68EA}" uniqueName="4" name="Column4" queryTableFieldId="4" dataDxfId="91"/>
    <tableColumn id="5" xr3:uid="{FFFA954A-D259-4E44-A61D-8136CFC3FD93}" uniqueName="5" name="Column5" queryTableFieldId="5" dataDxfId="90"/>
    <tableColumn id="6" xr3:uid="{D5BBBA74-002F-4B6D-A0CE-F9B1B596F380}" uniqueName="6" name="Column6" queryTableFieldId="6" dataDxfId="8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258E29-CB41-40CB-B400-1967F85EEFED}" name="pergDesdeSamba" displayName="pergDesdeSamba" ref="J16:O20" tableType="queryTable" totalsRowShown="0">
  <autoFilter ref="J16:O20" xr:uid="{4E258E29-CB41-40CB-B400-1967F85EEFED}"/>
  <tableColumns count="6">
    <tableColumn id="1" xr3:uid="{A994B0B0-3719-43A3-93C1-D742E8B1BD17}" uniqueName="1" name="Column1" queryTableFieldId="1" dataDxfId="88"/>
    <tableColumn id="2" xr3:uid="{AA6403AE-C4DE-4328-A63D-78681A56E0F6}" uniqueName="2" name="Column2" queryTableFieldId="2" dataDxfId="87"/>
    <tableColumn id="3" xr3:uid="{31FF89BC-56EC-4E00-BFA7-23FAFF139E6A}" uniqueName="3" name="Column3" queryTableFieldId="3" dataDxfId="86"/>
    <tableColumn id="4" xr3:uid="{78959432-F3C0-44B5-BF57-95F3E53A9F32}" uniqueName="4" name="Column4" queryTableFieldId="4" dataDxfId="85"/>
    <tableColumn id="5" xr3:uid="{6A3A8418-6850-40E8-9F9C-99B93FD9FFD4}" uniqueName="5" name="Column5" queryTableFieldId="5" dataDxfId="84"/>
    <tableColumn id="6" xr3:uid="{EEB46546-61A0-4A0B-9B4E-03810B3AAA98}" uniqueName="6" name="Column6" queryTableFieldId="6" dataDxfId="8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423433-B025-4991-B0A9-5E332B15780A}" name="respAbismoDeRosas" displayName="respAbismoDeRosas" ref="A2:B14" tableType="queryTable" totalsRowShown="0">
  <autoFilter ref="A2:B14" xr:uid="{4B423433-B025-4991-B0A9-5E332B15780A}"/>
  <tableColumns count="2">
    <tableColumn id="1" xr3:uid="{9375A056-BA7F-4F77-9E07-3F4E8538DAB3}" uniqueName="1" name="Identificação" queryTableFieldId="1"/>
    <tableColumn id="2" xr3:uid="{E5547281-0554-4446-98CE-D713ACE4F9AB}" uniqueName="2" name="Resposta"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201DD10-A554-4011-87CF-EB225E51AFF3}" name="respNoiteDeLua" displayName="respNoiteDeLua" ref="D2:E5" tableType="queryTable" totalsRowShown="0">
  <autoFilter ref="D2:E5" xr:uid="{5201DD10-A554-4011-87CF-EB225E51AFF3}"/>
  <tableColumns count="2">
    <tableColumn id="1" xr3:uid="{23680F0C-6B4B-49E4-AE64-F11731F921C9}" uniqueName="1" name="Identificação" queryTableFieldId="1"/>
    <tableColumn id="2" xr3:uid="{A7428809-0830-40FA-A485-143881697E27}" uniqueName="2" name="Resposta"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1A4154F-AF75-456E-8CCC-84000F27D235}" name="respSeElaPerguntar__2" displayName="respSeElaPerguntar__2" ref="G2:H11" tableType="queryTable" totalsRowShown="0">
  <autoFilter ref="G2:H11" xr:uid="{B1A4154F-AF75-456E-8CCC-84000F27D235}"/>
  <tableColumns count="2">
    <tableColumn id="1" xr3:uid="{420521DC-A898-4A07-A43D-1528DB1238FF}" uniqueName="1" name="Identificação" queryTableFieldId="1"/>
    <tableColumn id="2" xr3:uid="{1D2008C3-8288-4B5D-92C7-BDFE294EF937}" uniqueName="2" name="Resposta"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09800B-C843-4615-9A0D-8F3CE78A7478}" name="pergAbismoDeRosas" displayName="pergAbismoDeRosas" ref="J2:O6" tableType="queryTable" totalsRowShown="0">
  <autoFilter ref="J2:O6" xr:uid="{2809800B-C843-4615-9A0D-8F3CE78A7478}"/>
  <tableColumns count="6">
    <tableColumn id="1" xr3:uid="{BAAF0805-71CB-4919-A0C2-6129C952AB15}" uniqueName="1" name="Column1" queryTableFieldId="1" dataDxfId="82"/>
    <tableColumn id="2" xr3:uid="{290372AE-B4BE-44F0-9662-6F8C85381078}" uniqueName="2" name="Column2" queryTableFieldId="2" dataDxfId="81"/>
    <tableColumn id="3" xr3:uid="{36D8B18F-053E-425A-BAA8-03123DEF69DB}" uniqueName="3" name="Column3" queryTableFieldId="3" dataDxfId="80"/>
    <tableColumn id="4" xr3:uid="{492368C4-D291-4466-B2E6-0A0523DFD870}" uniqueName="4" name="Column4" queryTableFieldId="4" dataDxfId="79"/>
    <tableColumn id="5" xr3:uid="{E2E76346-BE94-444B-B941-5207666F0605}" uniqueName="5" name="Column5" queryTableFieldId="5" dataDxfId="78"/>
    <tableColumn id="6" xr3:uid="{1DD402FB-3F1D-45AE-A1C1-8C0F47EC3A87}" uniqueName="6" name="Column6" queryTableFieldId="6" dataDxfId="7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464B205-215F-4C48-A79E-ED69564EEF8C}" name="pergNoiteDeLua" displayName="pergNoiteDeLua" ref="J8:O12" tableType="queryTable" totalsRowShown="0">
  <autoFilter ref="J8:O12" xr:uid="{A464B205-215F-4C48-A79E-ED69564EEF8C}"/>
  <tableColumns count="6">
    <tableColumn id="1" xr3:uid="{A82A7AB2-5F8E-4576-8CC2-01BB1C660F90}" uniqueName="1" name="Column1" queryTableFieldId="1" dataDxfId="76"/>
    <tableColumn id="2" xr3:uid="{36BA42F8-1381-4118-8DB0-20C1ED15ACE6}" uniqueName="2" name="Column2" queryTableFieldId="2" dataDxfId="75"/>
    <tableColumn id="3" xr3:uid="{20B99B1B-A6E5-470F-88EA-1C15D11B67BB}" uniqueName="3" name="Column3" queryTableFieldId="3" dataDxfId="74"/>
    <tableColumn id="4" xr3:uid="{110DEB0B-60A6-453B-A4D6-361B57BBA10E}" uniqueName="4" name="Column4" queryTableFieldId="4" dataDxfId="73"/>
    <tableColumn id="5" xr3:uid="{D587FF49-3F83-4651-A8E9-3509658E24CB}" uniqueName="5" name="Column5" queryTableFieldId="5" dataDxfId="72"/>
    <tableColumn id="6" xr3:uid="{300C3066-E9F9-41C3-9379-CF8691F7355D}" uniqueName="6" name="Column6" queryTableFieldId="6" dataDxfId="7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5AFCBAE-9DDA-4F57-B125-AACBA6B22367}" name="pergSeElaPerguntar" displayName="pergSeElaPerguntar" ref="J14:O18" tableType="queryTable" totalsRowShown="0">
  <autoFilter ref="J14:O18" xr:uid="{A5AFCBAE-9DDA-4F57-B125-AACBA6B22367}"/>
  <tableColumns count="6">
    <tableColumn id="1" xr3:uid="{13A743FB-E738-4BE6-B200-5B8834CDC92E}" uniqueName="1" name="Column1" queryTableFieldId="1" dataDxfId="70"/>
    <tableColumn id="2" xr3:uid="{D2D2E6BF-8BD6-417F-B49E-58D83A0D46DD}" uniqueName="2" name="Column2" queryTableFieldId="2" dataDxfId="69"/>
    <tableColumn id="3" xr3:uid="{7B478A5A-47FD-49E6-972E-67072F794232}" uniqueName="3" name="Column3" queryTableFieldId="3" dataDxfId="68"/>
    <tableColumn id="4" xr3:uid="{CC011D72-4762-4FCA-9DFF-22C320184F42}" uniqueName="4" name="Column4" queryTableFieldId="4" dataDxfId="67"/>
    <tableColumn id="5" xr3:uid="{A37945D5-6921-4C94-BE55-B1B4358D53EE}" uniqueName="5" name="Column5" queryTableFieldId="5" dataDxfId="66"/>
    <tableColumn id="6" xr3:uid="{860C2E4D-CACC-4520-9FF3-691AED0436DB}" uniqueName="6" name="Column6" queryTableFieldId="6" dataDxfId="6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4EF87D8-6E90-4104-A3C1-69D810B0EBAE}" name="respApanheiTeCavaquinho" displayName="respApanheiTeCavaquinho" ref="A2:B26" tableType="queryTable" totalsRowShown="0">
  <autoFilter ref="A2:B26" xr:uid="{94EF87D8-6E90-4104-A3C1-69D810B0EBAE}"/>
  <tableColumns count="2">
    <tableColumn id="1" xr3:uid="{3196FE40-CC50-4B95-8D50-B2FCA645F779}" uniqueName="1" name="Identificação" queryTableFieldId="1"/>
    <tableColumn id="2" xr3:uid="{CECB1CDA-86BE-4E25-937C-B3266BB14073}" uniqueName="2" name="Resposta"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C9788AC-C39A-4C7D-B517-65DD4A55A3AC}" name="respBrejero" displayName="respBrejero" ref="D2:E20" tableType="queryTable" totalsRowShown="0">
  <autoFilter ref="D2:E20" xr:uid="{0C9788AC-C39A-4C7D-B517-65DD4A55A3AC}"/>
  <tableColumns count="2">
    <tableColumn id="1" xr3:uid="{6E79B11B-0BDD-4387-A6B0-9AD07AA9F1D8}" uniqueName="1" name="Identificação" queryTableFieldId="1"/>
    <tableColumn id="2" xr3:uid="{204C11AE-ADED-47D7-8615-DEDC068B0054}" uniqueName="2" name="Resposta"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3134188-23F3-4997-B412-DF4E65BEB8BB}" name="respOdeon" displayName="respOdeon" ref="G2:H14" tableType="queryTable" totalsRowShown="0">
  <autoFilter ref="G2:H14" xr:uid="{03134188-23F3-4997-B412-DF4E65BEB8BB}"/>
  <tableColumns count="2">
    <tableColumn id="1" xr3:uid="{2AFEFD8B-2337-4D58-8DBD-BC3D107538CA}" uniqueName="1" name="Identificação" queryTableFieldId="1"/>
    <tableColumn id="2" xr3:uid="{88C16FEB-042C-468C-93E4-CF507A098ECD}" uniqueName="2" name="Resposta"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D0F8414-6DF1-4A4A-A0AA-31AB5105EAF9}" name="pergApanheiTeCavaquinho" displayName="pergApanheiTeCavaquinho" ref="J2:Q6" tableType="queryTable" totalsRowShown="0">
  <autoFilter ref="J2:Q6" xr:uid="{1D0F8414-6DF1-4A4A-A0AA-31AB5105EAF9}"/>
  <tableColumns count="8">
    <tableColumn id="1" xr3:uid="{747C4232-6CD5-4479-9D9E-C2FC7E652FE9}" uniqueName="1" name="Column1" queryTableFieldId="1" dataDxfId="64"/>
    <tableColumn id="2" xr3:uid="{3F4B52EF-B0F4-4D3A-82A3-C4E5EE510C8E}" uniqueName="2" name="Column2" queryTableFieldId="2" dataDxfId="63"/>
    <tableColumn id="3" xr3:uid="{F2ED5535-AE64-4ECE-8EA2-75680B95A460}" uniqueName="3" name="Column3" queryTableFieldId="3" dataDxfId="62"/>
    <tableColumn id="4" xr3:uid="{8F369647-C6E5-4298-9061-AB291533A031}" uniqueName="4" name="Column4" queryTableFieldId="4" dataDxfId="61"/>
    <tableColumn id="5" xr3:uid="{32DAFE79-8D0F-49F7-9CA7-B346859E5A34}" uniqueName="5" name="Column5" queryTableFieldId="5" dataDxfId="60"/>
    <tableColumn id="6" xr3:uid="{1A2D53C4-8087-4A87-A75D-45AB8A44BBE1}" uniqueName="6" name="Column6" queryTableFieldId="6" dataDxfId="59"/>
    <tableColumn id="7" xr3:uid="{08D50EE6-550A-49A5-A7A7-12EEE9A3DD21}" uniqueName="7" name="Column7" queryTableFieldId="7" dataDxfId="58"/>
    <tableColumn id="8" xr3:uid="{80F8491E-739F-4E51-BE8E-AB9412349F6F}" uniqueName="8" name="Column8" queryTableFieldId="8" dataDxfId="57"/>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BA7E396-8AA0-402D-B433-EA3853C422E4}" name="pergBrejero" displayName="pergBrejero" ref="J8:Q12" tableType="queryTable" totalsRowShown="0">
  <autoFilter ref="J8:Q12" xr:uid="{ABA7E396-8AA0-402D-B433-EA3853C422E4}"/>
  <tableColumns count="8">
    <tableColumn id="1" xr3:uid="{6AE53330-CDF1-4D0A-A82B-9EB4665ADCB4}" uniqueName="1" name="Column1" queryTableFieldId="1" dataDxfId="56"/>
    <tableColumn id="2" xr3:uid="{7A8E6B09-BB7F-4342-A848-30AB20E48388}" uniqueName="2" name="Column2" queryTableFieldId="2" dataDxfId="55"/>
    <tableColumn id="3" xr3:uid="{08FE4928-93DE-4289-9BEC-73ACDBC635E5}" uniqueName="3" name="Column3" queryTableFieldId="3" dataDxfId="54"/>
    <tableColumn id="4" xr3:uid="{CF53DDEC-0159-437D-8CA5-67ADECD611DA}" uniqueName="4" name="Column4" queryTableFieldId="4" dataDxfId="53"/>
    <tableColumn id="5" xr3:uid="{079D585E-0C50-4CE2-9E04-CE2A32FCECC2}" uniqueName="5" name="Column5" queryTableFieldId="5" dataDxfId="52"/>
    <tableColumn id="6" xr3:uid="{B312C70E-7452-45C8-A83C-BFECDD5C2349}" uniqueName="6" name="Column6" queryTableFieldId="6" dataDxfId="51"/>
    <tableColumn id="7" xr3:uid="{CEC98954-229E-489A-A458-3A211836795B}" uniqueName="7" name="Column7" queryTableFieldId="7" dataDxfId="50"/>
    <tableColumn id="8" xr3:uid="{98F94ABB-5D6F-4AA4-ABEE-0EEA94DBAF8E}" uniqueName="8" name="Column8" queryTableFieldId="8" dataDxfId="49"/>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78E27A2-2AC7-4C79-BC9E-59EE0E8B8EFD}" name="pergOdeon" displayName="pergOdeon" ref="J14:Q18" tableType="queryTable" totalsRowShown="0">
  <autoFilter ref="J14:Q18" xr:uid="{F78E27A2-2AC7-4C79-BC9E-59EE0E8B8EFD}"/>
  <tableColumns count="8">
    <tableColumn id="1" xr3:uid="{9F373737-09CF-49FC-8454-7EA6E0647E00}" uniqueName="1" name="Column1" queryTableFieldId="1" dataDxfId="48"/>
    <tableColumn id="2" xr3:uid="{BCA840EF-541A-4836-8F36-27168C748DF5}" uniqueName="2" name="Column2" queryTableFieldId="2" dataDxfId="47"/>
    <tableColumn id="3" xr3:uid="{B0C03863-3E33-4138-8599-0651B2059A1D}" uniqueName="3" name="Column3" queryTableFieldId="3" dataDxfId="46"/>
    <tableColumn id="4" xr3:uid="{550D040B-62EB-40F0-8477-46626E164C6A}" uniqueName="4" name="Column4" queryTableFieldId="4" dataDxfId="45"/>
    <tableColumn id="5" xr3:uid="{E4546EA7-8B04-4C85-8589-E11C6DD62579}" uniqueName="5" name="Column5" queryTableFieldId="5" dataDxfId="44"/>
    <tableColumn id="6" xr3:uid="{B633A08C-AB0A-4FD6-B6FE-148DD13B43E3}" uniqueName="6" name="Column6" queryTableFieldId="6" dataDxfId="43"/>
    <tableColumn id="7" xr3:uid="{EF505652-0FAF-4DEA-8B25-3A403FC5ECCB}" uniqueName="7" name="Column7" queryTableFieldId="7" dataDxfId="42"/>
    <tableColumn id="8" xr3:uid="{C88AFEA1-C2CE-4958-BDF6-CB1CF5F1EB94}" uniqueName="8" name="Column8" queryTableFieldId="8" dataDxfId="41"/>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9ABA21F-451F-4F8A-AF3D-7BAA9442D53D}" name="respChoroN1" displayName="respChoroN1" ref="A2:B5" tableType="queryTable" totalsRowShown="0">
  <autoFilter ref="A2:B5" xr:uid="{E9ABA21F-451F-4F8A-AF3D-7BAA9442D53D}"/>
  <tableColumns count="2">
    <tableColumn id="1" xr3:uid="{63CD9133-B85D-43F1-9177-58681A6D3B7D}" uniqueName="1" name="Identificação" queryTableFieldId="1"/>
    <tableColumn id="2" xr3:uid="{5BADD5A4-5667-4C4B-883C-AFB1172BCD44}" uniqueName="2" name="Resposta" queryTableField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1B2679A-3C27-4FDB-B68A-4E7FF2A26BCF}" name="respEstudoN1" displayName="respEstudoN1" ref="D2:E5" tableType="queryTable" totalsRowShown="0">
  <autoFilter ref="D2:E5" xr:uid="{31B2679A-3C27-4FDB-B68A-4E7FF2A26BCF}"/>
  <tableColumns count="2">
    <tableColumn id="1" xr3:uid="{78D77534-33AC-4F63-AD99-1AE2506572D5}" uniqueName="1" name="Identificação" queryTableFieldId="1"/>
    <tableColumn id="2" xr3:uid="{C6A771B3-0D63-4A47-84B6-C1EE13F61074}" uniqueName="2" name="Resposta"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E3E935A-D831-4EC2-A049-3DF94C08D9FD}" name="respPreludioN1" displayName="respPreludioN1" ref="G2:H5" tableType="queryTable" totalsRowShown="0">
  <autoFilter ref="G2:H5" xr:uid="{FE3E935A-D831-4EC2-A049-3DF94C08D9FD}"/>
  <tableColumns count="2">
    <tableColumn id="1" xr3:uid="{B96B4CCE-4637-4916-AD30-18A780FC8F4B}" uniqueName="1" name="Identificação" queryTableFieldId="1"/>
    <tableColumn id="2" xr3:uid="{29AE976A-487B-498A-A24A-24323FB2356B}" uniqueName="2" name="Resposta"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68F91E4-DA21-4B5C-80AC-ECB7D20262ED}" name="pergChoroN1" displayName="pergChoroN1" ref="J2:O6" tableType="queryTable" totalsRowShown="0">
  <autoFilter ref="J2:O6" xr:uid="{A68F91E4-DA21-4B5C-80AC-ECB7D20262ED}"/>
  <tableColumns count="6">
    <tableColumn id="1" xr3:uid="{A5A37DB6-1811-4FB1-A5C3-DB177FC611D0}" uniqueName="1" name="Column1" queryTableFieldId="1" dataDxfId="40"/>
    <tableColumn id="2" xr3:uid="{3AAC30FA-2949-46AC-B630-F9DE1B3034F4}" uniqueName="2" name="Column2" queryTableFieldId="2" dataDxfId="39"/>
    <tableColumn id="3" xr3:uid="{C3CAA718-4523-4D71-9653-4F71A99D11CD}" uniqueName="3" name="Column3" queryTableFieldId="3" dataDxfId="38"/>
    <tableColumn id="4" xr3:uid="{1E59A64C-1695-4D9E-9C0E-0938080EEB57}" uniqueName="4" name="Column4" queryTableFieldId="4" dataDxfId="37"/>
    <tableColumn id="5" xr3:uid="{5DE8D9E1-BE25-4F52-8D30-00C759D78413}" uniqueName="5" name="Column5" queryTableFieldId="5" dataDxfId="36"/>
    <tableColumn id="6" xr3:uid="{416F4745-8631-43D7-A78B-EA1605D0D6D6}" uniqueName="6" name="Column6" queryTableFieldId="6" dataDxfId="3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3A5462-D09F-446D-BCBE-5DEF9E2F6DC5}" name="pergEstudoN1" displayName="pergEstudoN1" ref="J8:O12" tableType="queryTable" totalsRowShown="0">
  <autoFilter ref="J8:O12" xr:uid="{6F3A5462-D09F-446D-BCBE-5DEF9E2F6DC5}"/>
  <tableColumns count="6">
    <tableColumn id="1" xr3:uid="{6D6F6FC5-5708-4B1D-A301-28AAC73CB232}" uniqueName="1" name="Column1" queryTableFieldId="1" dataDxfId="34"/>
    <tableColumn id="2" xr3:uid="{F982A9AA-AA85-4E0B-937F-E4DAB89E8374}" uniqueName="2" name="Column2" queryTableFieldId="2" dataDxfId="33"/>
    <tableColumn id="3" xr3:uid="{93DB897B-470F-4BB0-A5EE-AA822D85D83F}" uniqueName="3" name="Column3" queryTableFieldId="3" dataDxfId="32"/>
    <tableColumn id="4" xr3:uid="{1329101E-0489-42AF-9B8B-C44F0DD9E468}" uniqueName="4" name="Column4" queryTableFieldId="4" dataDxfId="31"/>
    <tableColumn id="5" xr3:uid="{D858ED61-13C9-46FA-AA5C-0898451C90E2}" uniqueName="5" name="Column5" queryTableFieldId="5" dataDxfId="30"/>
    <tableColumn id="6" xr3:uid="{A056FCB1-FEEF-453F-83C9-238CB19A0FA8}" uniqueName="6" name="Column6" queryTableFieldId="6" dataDxfId="2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96DF9B1-3912-4087-A523-841FFFD741A9}" name="pergPreludioN1" displayName="pergPreludioN1" ref="J14:O18" tableType="queryTable" totalsRowShown="0">
  <autoFilter ref="J14:O18" xr:uid="{296DF9B1-3912-4087-A523-841FFFD741A9}"/>
  <tableColumns count="6">
    <tableColumn id="1" xr3:uid="{0777E725-7FF6-42D1-90A5-501D41906EC0}" uniqueName="1" name="Column1" queryTableFieldId="1" dataDxfId="28"/>
    <tableColumn id="2" xr3:uid="{5D0077CC-1C84-4382-8532-A38E28004744}" uniqueName="2" name="Column2" queryTableFieldId="2" dataDxfId="27"/>
    <tableColumn id="3" xr3:uid="{6279D4C1-08F2-4F0C-884A-F6EECABE12B5}" uniqueName="3" name="Column3" queryTableFieldId="3" dataDxfId="26"/>
    <tableColumn id="4" xr3:uid="{8E133A52-4EBC-4FDE-9660-6405F9B3CD40}" uniqueName="4" name="Column4" queryTableFieldId="4" dataDxfId="25"/>
    <tableColumn id="5" xr3:uid="{324D5440-9F27-494F-9362-173BB5C0B5B6}" uniqueName="5" name="Column5" queryTableFieldId="5" dataDxfId="24"/>
    <tableColumn id="6" xr3:uid="{E47DA827-4A1E-485D-84D1-140D7DBD284D}" uniqueName="6" name="Column6" queryTableFieldId="6" dataDxfId="2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90F517F-5F28-467B-A38D-869E5384E5CB}" name="respEuSeiQueVouTeAmar" displayName="respEuSeiQueVouTeAmar" ref="A2:B14" tableType="queryTable" totalsRowShown="0">
  <autoFilter ref="A2:B14" xr:uid="{990F517F-5F28-467B-A38D-869E5384E5CB}"/>
  <tableColumns count="2">
    <tableColumn id="1" xr3:uid="{E6EFBB3E-4F5F-439C-89B8-4DF26611F9B8}" uniqueName="1" name="Identificação" queryTableFieldId="1"/>
    <tableColumn id="2" xr3:uid="{DA7FF650-C826-4F9A-9CCF-960585EFBABE}" uniqueName="2" name="Resposta"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3866845-AB8D-4915-ADC5-6F508A778530}" name="respGarotadeIpanema" displayName="respGarotadeIpanema" ref="D2:E20" tableType="queryTable" totalsRowShown="0">
  <autoFilter ref="D2:E20" xr:uid="{53866845-AB8D-4915-ADC5-6F508A778530}"/>
  <tableColumns count="2">
    <tableColumn id="1" xr3:uid="{46896A2B-1153-4402-BA1A-63A75EAF4976}" uniqueName="1" name="Identificação" queryTableFieldId="1"/>
    <tableColumn id="2" xr3:uid="{F19C18A5-FE73-4356-A0E5-1CD447D93702}" uniqueName="2" name="Resposta"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274B782-9DE7-4D9B-94E2-80356ED0B5ED}" name="respWave" displayName="respWave" ref="G2:H20" tableType="queryTable" totalsRowShown="0">
  <autoFilter ref="G2:H20" xr:uid="{4274B782-9DE7-4D9B-94E2-80356ED0B5ED}"/>
  <tableColumns count="2">
    <tableColumn id="1" xr3:uid="{623F3B00-897E-473D-A742-4BE6D3E3ABBB}" uniqueName="1" name="Identificação" queryTableFieldId="1"/>
    <tableColumn id="2" xr3:uid="{99CCB2C7-0371-4DA6-9D33-424FCACA2EC7}" uniqueName="2" name="Resposta" queryTableFieldId="2"/>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6AE411B-F170-49C3-8300-839155D696B5}" name="pergEuSeiQueVouTeAmar" displayName="pergEuSeiQueVouTeAmar" ref="J2:Q6" tableType="queryTable" totalsRowShown="0">
  <autoFilter ref="J2:Q6" xr:uid="{F6AE411B-F170-49C3-8300-839155D696B5}"/>
  <tableColumns count="8">
    <tableColumn id="1" xr3:uid="{191C97E9-8BE9-4551-8782-23442516AC88}" uniqueName="1" name="Column1" queryTableFieldId="1" dataDxfId="22"/>
    <tableColumn id="2" xr3:uid="{4A2E90B8-71AF-4474-B632-32E07FD6E8FF}" uniqueName="2" name="Column2" queryTableFieldId="2" dataDxfId="21"/>
    <tableColumn id="3" xr3:uid="{C304267C-7B27-4297-B13B-E60C51771829}" uniqueName="3" name="Column3" queryTableFieldId="3" dataDxfId="20"/>
    <tableColumn id="4" xr3:uid="{D11808B2-25DF-433B-A7DC-D02411C483E9}" uniqueName="4" name="Column4" queryTableFieldId="4" dataDxfId="19"/>
    <tableColumn id="5" xr3:uid="{1681ED60-37A9-4E89-A859-46FE095DDBDE}" uniqueName="5" name="Column5" queryTableFieldId="5" dataDxfId="18"/>
    <tableColumn id="6" xr3:uid="{173C5D59-D503-46C7-AE6A-6E09E2DF4B5D}" uniqueName="6" name="Column6" queryTableFieldId="6" dataDxfId="17"/>
    <tableColumn id="7" xr3:uid="{14805159-1F98-4298-8695-BF9BB5CBEE37}" uniqueName="7" name="Column7" queryTableFieldId="7" dataDxfId="16"/>
    <tableColumn id="8" xr3:uid="{9F2AD23F-AB21-49DD-922A-D52A44837BC6}" uniqueName="8" name="Column8" queryTableFieldId="8" dataDxfId="15"/>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7A25EDC-6AA9-429B-85F9-EDEEF32D405A}" name="pergGarotadeIpanema" displayName="pergGarotadeIpanema" ref="J8:O12" tableType="queryTable" totalsRowShown="0">
  <autoFilter ref="J8:O12" xr:uid="{F7A25EDC-6AA9-429B-85F9-EDEEF32D405A}"/>
  <tableColumns count="6">
    <tableColumn id="1" xr3:uid="{C7061FAA-D818-4479-90B2-D03C75A26728}" uniqueName="1" name="Column1" queryTableFieldId="1" dataDxfId="14"/>
    <tableColumn id="2" xr3:uid="{6E47CECF-C60A-4ECC-B944-40B2E5D764B3}" uniqueName="2" name="Column2" queryTableFieldId="2" dataDxfId="13"/>
    <tableColumn id="3" xr3:uid="{A565D4A5-683C-4C69-B97C-597590EDDFBB}" uniqueName="3" name="Column3" queryTableFieldId="3" dataDxfId="12"/>
    <tableColumn id="4" xr3:uid="{70447D58-EA40-4977-973D-2D98FF573154}" uniqueName="4" name="Column4" queryTableFieldId="4" dataDxfId="11"/>
    <tableColumn id="5" xr3:uid="{C58FDD22-6874-4720-B528-E63B8D06138D}" uniqueName="5" name="Column5" queryTableFieldId="5" dataDxfId="10"/>
    <tableColumn id="6" xr3:uid="{04EC453F-90B2-47DF-B947-C101442C937A}" uniqueName="6" name="Column6" queryTableFieldId="6" dataDxfId="9"/>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CA1FBE8-6A3C-4CD4-94F6-1CD956DD23EC}" name="pergWave__2" displayName="pergWave__2" ref="J14:N18" tableType="queryTable" totalsRowShown="0">
  <autoFilter ref="J14:N18" xr:uid="{FCA1FBE8-6A3C-4CD4-94F6-1CD956DD23EC}"/>
  <tableColumns count="5">
    <tableColumn id="1" xr3:uid="{173D25D8-26F6-4A28-BA99-C8B8B4CDC381}" uniqueName="1" name="Column1" queryTableFieldId="1" dataDxfId="8"/>
    <tableColumn id="2" xr3:uid="{444CC5D7-26B0-4DAE-9476-A7C28350357A}" uniqueName="2" name="Column2" queryTableFieldId="2" dataDxfId="7"/>
    <tableColumn id="3" xr3:uid="{D42321EE-F581-4B69-BF68-8F45344F1CDB}" uniqueName="3" name="Column3" queryTableFieldId="3" dataDxfId="6"/>
    <tableColumn id="4" xr3:uid="{BD07C564-8402-4224-B7A0-75270AF8F57D}" uniqueName="4" name="Column4" queryTableFieldId="4" dataDxfId="5"/>
    <tableColumn id="5" xr3:uid="{7DCFE074-FC09-4DBB-AA2A-DB1C42FC1213}" uniqueName="5" name="Column5" queryTableFieldId="5" dataDxfId="4"/>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ivotTable" Target="../pivotTables/pivotTable2.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ivotTable" Target="../pivotTables/pivotTable3.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table" Target="../tables/table14.xml"/><Relationship Id="rId1" Type="http://schemas.openxmlformats.org/officeDocument/2006/relationships/pivotTable" Target="../pivotTables/pivotTable4.xml"/><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7" Type="http://schemas.openxmlformats.org/officeDocument/2006/relationships/table" Target="../tables/table25.xml"/><Relationship Id="rId2" Type="http://schemas.openxmlformats.org/officeDocument/2006/relationships/table" Target="../tables/table20.xml"/><Relationship Id="rId1" Type="http://schemas.openxmlformats.org/officeDocument/2006/relationships/pivotTable" Target="../pivotTables/pivotTable5.xml"/><Relationship Id="rId6" Type="http://schemas.openxmlformats.org/officeDocument/2006/relationships/table" Target="../tables/table24.xml"/><Relationship Id="rId5" Type="http://schemas.openxmlformats.org/officeDocument/2006/relationships/table" Target="../tables/table23.xml"/><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7.xml"/><Relationship Id="rId7" Type="http://schemas.openxmlformats.org/officeDocument/2006/relationships/table" Target="../tables/table31.xml"/><Relationship Id="rId2" Type="http://schemas.openxmlformats.org/officeDocument/2006/relationships/table" Target="../tables/table26.xml"/><Relationship Id="rId1" Type="http://schemas.openxmlformats.org/officeDocument/2006/relationships/pivotTable" Target="../pivotTables/pivotTable6.xml"/><Relationship Id="rId6" Type="http://schemas.openxmlformats.org/officeDocument/2006/relationships/table" Target="../tables/table30.xml"/><Relationship Id="rId5" Type="http://schemas.openxmlformats.org/officeDocument/2006/relationships/table" Target="../tables/table29.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766E6-0044-4554-83DD-4FA83DF1E782}">
  <sheetPr codeName="Planilha1"/>
  <dimension ref="A1:V32"/>
  <sheetViews>
    <sheetView showGridLines="0" tabSelected="1" zoomScale="85" zoomScaleNormal="85" workbookViewId="0"/>
  </sheetViews>
  <sheetFormatPr defaultColWidth="0" defaultRowHeight="15" zeroHeight="1" x14ac:dyDescent="0.25"/>
  <cols>
    <col min="1" max="1" width="2.7109375" style="30" customWidth="1"/>
    <col min="2" max="2" width="43.28515625" style="30" customWidth="1"/>
    <col min="3" max="3" width="2.7109375" style="30" customWidth="1"/>
    <col min="4" max="4" width="43.28515625" style="30" customWidth="1"/>
    <col min="5" max="5" width="2.7109375" style="30" customWidth="1"/>
    <col min="6" max="6" width="43.28515625" style="30" customWidth="1"/>
    <col min="7" max="7" width="2.7109375" style="30" customWidth="1"/>
    <col min="8" max="8" width="43.28515625" style="30" customWidth="1"/>
    <col min="9" max="9" width="2.7109375" style="30" customWidth="1"/>
    <col min="10" max="20" width="9.140625" style="30" hidden="1" customWidth="1"/>
    <col min="21" max="21" width="19.7109375" style="30" hidden="1" customWidth="1"/>
    <col min="22" max="22" width="12.28515625" style="30" hidden="1" customWidth="1"/>
    <col min="23" max="16384" width="9.140625" style="30" hidden="1"/>
  </cols>
  <sheetData>
    <row r="1" spans="2:8" ht="57.75" customHeight="1" x14ac:dyDescent="0.25"/>
    <row r="2" spans="2:8" x14ac:dyDescent="0.25">
      <c r="B2" s="31"/>
      <c r="C2" s="31"/>
      <c r="D2" s="31"/>
      <c r="E2" s="31"/>
      <c r="F2" s="31"/>
      <c r="G2" s="31"/>
      <c r="H2" s="31"/>
    </row>
    <row r="3" spans="2:8" x14ac:dyDescent="0.25"/>
    <row r="4" spans="2:8" ht="141" customHeight="1" x14ac:dyDescent="0.25"/>
    <row r="5" spans="2:8" ht="24.95" customHeight="1" x14ac:dyDescent="0.25"/>
    <row r="6" spans="2:8" s="23" customFormat="1" ht="69.75" customHeight="1" x14ac:dyDescent="0.25">
      <c r="B6" s="22">
        <f>BancoDeDados!S2</f>
        <v>180</v>
      </c>
      <c r="D6" s="23">
        <f>BancoDeDados!Q11</f>
        <v>8</v>
      </c>
      <c r="F6" s="23" t="str">
        <f>BancoDeDados!R11</f>
        <v>Caetano Veloso</v>
      </c>
      <c r="H6" s="39">
        <f>BancoDeDados!Q16</f>
        <v>22.125</v>
      </c>
    </row>
    <row r="7" spans="2:8" s="24" customFormat="1" x14ac:dyDescent="0.25">
      <c r="B7" s="24" t="s">
        <v>231</v>
      </c>
      <c r="D7" s="24" t="s">
        <v>232</v>
      </c>
      <c r="F7" s="24" t="s">
        <v>241</v>
      </c>
      <c r="H7" s="24" t="s">
        <v>247</v>
      </c>
    </row>
    <row r="8" spans="2:8" x14ac:dyDescent="0.25"/>
    <row r="9" spans="2:8" ht="24.95" customHeight="1" x14ac:dyDescent="0.25"/>
    <row r="10" spans="2:8" ht="26.25" customHeight="1" x14ac:dyDescent="0.25"/>
    <row r="11" spans="2:8" x14ac:dyDescent="0.25"/>
    <row r="12" spans="2:8" ht="231" customHeight="1" x14ac:dyDescent="0.25"/>
    <row r="13" spans="2:8" x14ac:dyDescent="0.25"/>
    <row r="14" spans="2:8" ht="26.25" customHeight="1" x14ac:dyDescent="0.25"/>
    <row r="15" spans="2:8" x14ac:dyDescent="0.25"/>
    <row r="16" spans="2:8" ht="226.5" customHeight="1" x14ac:dyDescent="0.25"/>
    <row r="17" spans="6:8" x14ac:dyDescent="0.25"/>
    <row r="18" spans="6:8" ht="26.25" customHeight="1" x14ac:dyDescent="0.25"/>
    <row r="19" spans="6:8" x14ac:dyDescent="0.25"/>
    <row r="20" spans="6:8" x14ac:dyDescent="0.25">
      <c r="F20" s="42" t="s">
        <v>231</v>
      </c>
      <c r="G20" s="42"/>
      <c r="H20" s="42"/>
    </row>
    <row r="21" spans="6:8" ht="35.25" x14ac:dyDescent="0.5">
      <c r="F21" s="41">
        <f>BancoDeDados!S2</f>
        <v>180</v>
      </c>
      <c r="G21" s="41"/>
      <c r="H21" s="41"/>
    </row>
    <row r="22" spans="6:8" x14ac:dyDescent="0.25"/>
    <row r="23" spans="6:8" ht="35.25" customHeight="1" x14ac:dyDescent="0.45">
      <c r="F23" s="36">
        <f>BancoDeDados!Q2</f>
        <v>120</v>
      </c>
      <c r="H23" s="36">
        <f>BancoDeDados!R2</f>
        <v>60</v>
      </c>
    </row>
    <row r="24" spans="6:8" s="33" customFormat="1" x14ac:dyDescent="0.25">
      <c r="F24" s="35">
        <f>BancoDeDados!Q3</f>
        <v>4</v>
      </c>
      <c r="H24" s="35">
        <f>BancoDeDados!R3</f>
        <v>4</v>
      </c>
    </row>
    <row r="25" spans="6:8" s="34" customFormat="1" ht="21.75" customHeight="1" x14ac:dyDescent="0.25">
      <c r="F25" s="34" t="s">
        <v>221</v>
      </c>
      <c r="H25" s="34" t="s">
        <v>246</v>
      </c>
    </row>
    <row r="26" spans="6:8" x14ac:dyDescent="0.25"/>
    <row r="27" spans="6:8" x14ac:dyDescent="0.25"/>
    <row r="28" spans="6:8" x14ac:dyDescent="0.25"/>
    <row r="29" spans="6:8" ht="35.25" customHeight="1" x14ac:dyDescent="0.45">
      <c r="F29" s="37">
        <f>BancoDeDados!R8</f>
        <v>0.375</v>
      </c>
      <c r="H29" s="37">
        <f>BancoDeDados!Q8</f>
        <v>0.625</v>
      </c>
    </row>
    <row r="30" spans="6:8" s="32" customFormat="1" x14ac:dyDescent="0.25">
      <c r="F30" s="40">
        <f>BancoDeDados!R6</f>
        <v>75</v>
      </c>
      <c r="H30" s="40">
        <f>BancoDeDados!Q6</f>
        <v>105</v>
      </c>
    </row>
    <row r="31" spans="6:8" s="38" customFormat="1" ht="21.75" customHeight="1" x14ac:dyDescent="0.25">
      <c r="F31" s="34" t="s">
        <v>245</v>
      </c>
      <c r="H31" s="34" t="s">
        <v>222</v>
      </c>
    </row>
    <row r="32" spans="6:8" x14ac:dyDescent="0.25"/>
  </sheetData>
  <mergeCells count="2">
    <mergeCell ref="F21:H21"/>
    <mergeCell ref="F20:H20"/>
  </mergeCells>
  <pageMargins left="0.511811024" right="0.511811024" top="0.78740157499999996" bottom="0.78740157499999996" header="0.31496062000000002" footer="0.31496062000000002"/>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497CA-326B-4419-BDDB-323BB02CAD07}">
  <sheetPr codeName="Planilha2">
    <pageSetUpPr fitToPage="1"/>
  </sheetPr>
  <dimension ref="A1:J90"/>
  <sheetViews>
    <sheetView showGridLines="0" topLeftCell="A24" zoomScale="70" zoomScaleNormal="70" workbookViewId="0">
      <selection activeCell="E4" sqref="E4"/>
    </sheetView>
  </sheetViews>
  <sheetFormatPr defaultColWidth="0" defaultRowHeight="15"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3" t="s">
        <v>0</v>
      </c>
      <c r="C1" s="43"/>
      <c r="D1" s="43"/>
      <c r="E1" s="43"/>
      <c r="F1" s="43"/>
      <c r="G1" s="43"/>
    </row>
    <row r="2" spans="2:7" x14ac:dyDescent="0.25"/>
    <row r="3" spans="2:7" ht="44.25" customHeight="1" x14ac:dyDescent="0.25">
      <c r="B3" s="49" t="s">
        <v>6</v>
      </c>
      <c r="C3" s="49"/>
      <c r="D3" s="49"/>
      <c r="E3" s="49">
        <f>GETPIVOTDATA("Caetano Veloso",'BD CAET'!$J$22)</f>
        <v>7</v>
      </c>
      <c r="F3" s="49"/>
      <c r="G3" s="49"/>
    </row>
    <row r="4" spans="2:7" ht="15" customHeight="1" x14ac:dyDescent="0.25">
      <c r="B4" s="7"/>
      <c r="C4" s="7"/>
      <c r="D4" s="7"/>
      <c r="E4" s="7"/>
      <c r="F4" s="7"/>
      <c r="G4" s="7"/>
    </row>
    <row r="5" spans="2:7" ht="45.75" x14ac:dyDescent="0.25">
      <c r="B5" s="47" t="s">
        <v>1</v>
      </c>
      <c r="C5" s="47"/>
      <c r="D5" s="47"/>
      <c r="E5" s="47"/>
      <c r="F5" s="47"/>
      <c r="G5" s="47"/>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6" t="s">
        <v>2</v>
      </c>
      <c r="C10" s="46"/>
      <c r="D10" s="46"/>
      <c r="E10" s="46"/>
      <c r="F10" s="46"/>
      <c r="G10" s="46"/>
    </row>
    <row r="11" spans="2:7" ht="15" customHeight="1" x14ac:dyDescent="0.25">
      <c r="B11" s="3"/>
      <c r="C11" s="3"/>
      <c r="D11" s="3"/>
      <c r="E11" s="3"/>
      <c r="F11" s="3"/>
      <c r="G11" s="3"/>
    </row>
    <row r="12" spans="2:7" ht="30.75" x14ac:dyDescent="0.25">
      <c r="B12" s="44" t="s">
        <v>3</v>
      </c>
      <c r="C12" s="44"/>
      <c r="D12" s="44"/>
      <c r="E12" s="44"/>
      <c r="F12" s="44"/>
      <c r="G12" s="44"/>
    </row>
    <row r="13" spans="2:7" x14ac:dyDescent="0.25"/>
    <row r="14" spans="2:7" ht="69.95" customHeight="1" x14ac:dyDescent="0.25">
      <c r="B14" s="45" t="str">
        <f>"1. "&amp;'BD CAET'!K3</f>
        <v>1. Você sabia que "Alegria, Alegria" é uma das músicas mais emblemáticas do movimento tropicalista no Brasil?</v>
      </c>
      <c r="C14" s="45"/>
      <c r="D14" s="45" t="str">
        <f>"2. "&amp;'BD CAET'!K4</f>
        <v>2. Você sabia que "Alegria, Alegria" foi lançada no auge da ditadura militar no Brasil?</v>
      </c>
      <c r="E14" s="45"/>
      <c r="F14" s="45" t="str">
        <f>"3. "&amp;'BD CAET'!K5</f>
        <v>3. Você sabia que "Alegria, Alegria" influenciou muitos artistas e músicos ao redor do mundo?</v>
      </c>
      <c r="G14" s="45"/>
    </row>
    <row r="15" spans="2:7" x14ac:dyDescent="0.25"/>
    <row r="16" spans="2:7" ht="23.25" x14ac:dyDescent="0.25">
      <c r="B16" s="4" t="s">
        <v>4</v>
      </c>
      <c r="C16" s="4" t="s">
        <v>5</v>
      </c>
      <c r="D16" s="4" t="s">
        <v>4</v>
      </c>
      <c r="E16" s="4" t="s">
        <v>5</v>
      </c>
      <c r="F16" s="4" t="s">
        <v>4</v>
      </c>
      <c r="G16" s="4" t="s">
        <v>5</v>
      </c>
    </row>
    <row r="17" spans="2:7" ht="23.25" x14ac:dyDescent="0.25">
      <c r="B17" s="5" t="str">
        <f>'BD CAET'!L3</f>
        <v>Sim!</v>
      </c>
      <c r="C17" s="5">
        <f>COUNTIFS('BD CAET'!A:A,1,'BD CAET'!B:B,1)</f>
        <v>6</v>
      </c>
      <c r="D17" s="5" t="str">
        <f>'BD CAET'!L4</f>
        <v>Sim!</v>
      </c>
      <c r="E17" s="5">
        <f>COUNTIFS('BD CAET'!A:A,2,'BD CAET'!B:B,1)</f>
        <v>5</v>
      </c>
      <c r="F17" s="5" t="str">
        <f>'BD CAET'!L5</f>
        <v>Sim, eu sei.</v>
      </c>
      <c r="G17" s="5">
        <f>COUNTIFS('BD CAET'!A:A,3,'BD CAET'!B:B,1)</f>
        <v>6</v>
      </c>
    </row>
    <row r="18" spans="2:7" ht="84" customHeight="1" x14ac:dyDescent="0.25">
      <c r="B18" s="5" t="str">
        <f>'BD CAET'!M3</f>
        <v>Não.</v>
      </c>
      <c r="C18" s="5">
        <f>COUNTIFS('BD CAET'!A:A,1,'BD CAET'!B:B,2)</f>
        <v>2</v>
      </c>
      <c r="D18" s="6" t="str">
        <f>'BD CAET'!M4</f>
        <v>Não, porém fiquei curioso. Me diga mais.</v>
      </c>
      <c r="E18" s="5">
        <f>COUNTIFS('BD CAET'!A:A,2,'BD CAET'!B:B,2)</f>
        <v>3</v>
      </c>
      <c r="F18" s="6" t="str">
        <f>[1]pergAlegriaAlegria!$D$3</f>
        <v xml:space="preserve">Não, me conte mais. </v>
      </c>
      <c r="G18" s="5">
        <f>COUNTIFS('BD CAET'!A:A,3,'BD CAET'!B:B,2)</f>
        <v>2</v>
      </c>
    </row>
    <row r="19" spans="2:7" x14ac:dyDescent="0.25">
      <c r="B19" s="48"/>
      <c r="C19" s="48"/>
      <c r="D19" s="48"/>
      <c r="E19" s="48"/>
      <c r="F19" s="48"/>
      <c r="G19" s="48"/>
    </row>
    <row r="20" spans="2:7" x14ac:dyDescent="0.25">
      <c r="B20" s="48"/>
      <c r="C20" s="48"/>
      <c r="D20" s="48"/>
      <c r="E20" s="48"/>
      <c r="F20" s="48"/>
      <c r="G20" s="48"/>
    </row>
    <row r="21" spans="2:7" x14ac:dyDescent="0.25">
      <c r="B21" s="48"/>
      <c r="C21" s="48"/>
      <c r="D21" s="48"/>
      <c r="E21" s="48"/>
      <c r="F21" s="48"/>
      <c r="G21" s="48"/>
    </row>
    <row r="22" spans="2:7" x14ac:dyDescent="0.25">
      <c r="B22" s="48"/>
      <c r="C22" s="48"/>
      <c r="D22" s="48"/>
      <c r="E22" s="48"/>
      <c r="F22" s="48"/>
      <c r="G22" s="48"/>
    </row>
    <row r="23" spans="2:7" x14ac:dyDescent="0.25">
      <c r="B23" s="48"/>
      <c r="C23" s="48"/>
      <c r="D23" s="48"/>
      <c r="E23" s="48"/>
      <c r="F23" s="48"/>
      <c r="G23" s="48"/>
    </row>
    <row r="24" spans="2:7" x14ac:dyDescent="0.25">
      <c r="B24" s="48"/>
      <c r="C24" s="48"/>
      <c r="D24" s="48"/>
      <c r="E24" s="48"/>
      <c r="F24" s="48"/>
      <c r="G24" s="48"/>
    </row>
    <row r="25" spans="2:7" x14ac:dyDescent="0.25">
      <c r="B25" s="48"/>
      <c r="C25" s="48"/>
      <c r="D25" s="48"/>
      <c r="E25" s="48"/>
      <c r="F25" s="48"/>
      <c r="G25" s="48"/>
    </row>
    <row r="26" spans="2:7" x14ac:dyDescent="0.25">
      <c r="B26" s="48"/>
      <c r="C26" s="48"/>
      <c r="D26" s="48"/>
      <c r="E26" s="48"/>
      <c r="F26" s="48"/>
      <c r="G26" s="48"/>
    </row>
    <row r="27" spans="2:7" x14ac:dyDescent="0.25">
      <c r="B27" s="48"/>
      <c r="C27" s="48"/>
      <c r="D27" s="48"/>
      <c r="E27" s="48"/>
      <c r="F27" s="48"/>
      <c r="G27" s="48"/>
    </row>
    <row r="28" spans="2:7" x14ac:dyDescent="0.25">
      <c r="B28" s="48"/>
      <c r="C28" s="48"/>
      <c r="D28" s="48"/>
      <c r="E28" s="48"/>
      <c r="F28" s="48"/>
      <c r="G28" s="48"/>
    </row>
    <row r="29" spans="2:7" x14ac:dyDescent="0.25">
      <c r="B29" s="48"/>
      <c r="C29" s="48"/>
      <c r="D29" s="48"/>
      <c r="E29" s="48"/>
      <c r="F29" s="48"/>
      <c r="G29" s="48"/>
    </row>
    <row r="30" spans="2:7" x14ac:dyDescent="0.25">
      <c r="B30" s="48"/>
      <c r="C30" s="48"/>
      <c r="D30" s="48"/>
      <c r="E30" s="48"/>
      <c r="F30" s="48"/>
      <c r="G30" s="48"/>
    </row>
    <row r="31" spans="2:7" x14ac:dyDescent="0.25">
      <c r="B31" s="48"/>
      <c r="C31" s="48"/>
      <c r="D31" s="48"/>
      <c r="E31" s="48"/>
      <c r="F31" s="48"/>
      <c r="G31" s="48"/>
    </row>
    <row r="32" spans="2:7" x14ac:dyDescent="0.25">
      <c r="B32" s="48"/>
      <c r="C32" s="48"/>
      <c r="D32" s="48"/>
      <c r="E32" s="48"/>
      <c r="F32" s="48"/>
      <c r="G32" s="48"/>
    </row>
    <row r="33" spans="2:7" x14ac:dyDescent="0.25">
      <c r="B33" s="48"/>
      <c r="C33" s="48"/>
      <c r="D33" s="48"/>
      <c r="E33" s="48"/>
      <c r="F33" s="48"/>
      <c r="G33" s="48"/>
    </row>
    <row r="34" spans="2:7" x14ac:dyDescent="0.25">
      <c r="B34" s="48"/>
      <c r="C34" s="48"/>
      <c r="D34" s="48"/>
      <c r="E34" s="48"/>
      <c r="F34" s="48"/>
      <c r="G34" s="48"/>
    </row>
    <row r="35" spans="2:7" x14ac:dyDescent="0.25">
      <c r="B35" s="48"/>
      <c r="C35" s="48"/>
      <c r="D35" s="48"/>
      <c r="E35" s="48"/>
      <c r="F35" s="48"/>
      <c r="G35" s="48"/>
    </row>
    <row r="36" spans="2:7" x14ac:dyDescent="0.25"/>
    <row r="37" spans="2:7" ht="33.75" x14ac:dyDescent="0.25">
      <c r="B37" s="46" t="s">
        <v>7</v>
      </c>
      <c r="C37" s="46"/>
      <c r="D37" s="46"/>
      <c r="E37" s="46"/>
      <c r="F37" s="46"/>
      <c r="G37" s="46"/>
    </row>
    <row r="38" spans="2:7" ht="15" customHeight="1" x14ac:dyDescent="0.25">
      <c r="B38" s="3"/>
      <c r="C38" s="3"/>
      <c r="D38" s="3"/>
      <c r="E38" s="3"/>
      <c r="F38" s="3"/>
      <c r="G38" s="3"/>
    </row>
    <row r="39" spans="2:7" ht="30.75" x14ac:dyDescent="0.25">
      <c r="B39" s="44" t="s">
        <v>3</v>
      </c>
      <c r="C39" s="44"/>
      <c r="D39" s="44"/>
      <c r="E39" s="44"/>
      <c r="F39" s="44"/>
      <c r="G39" s="44"/>
    </row>
    <row r="40" spans="2:7" x14ac:dyDescent="0.25"/>
    <row r="41" spans="2:7" ht="69.95" customHeight="1" x14ac:dyDescent="0.25">
      <c r="B41" s="45" t="str">
        <f>"1. "&amp;'BD CAET'!K10</f>
        <v>1. Você sabia que "Coração Vagabundo" foi uma das primeiras canções de Caetano Veloso a abordar o tema da saudade e da busca por identidade?</v>
      </c>
      <c r="C41" s="45"/>
      <c r="D41" s="45" t="str">
        <f>"2. "&amp;'BD CAET'!K11</f>
        <v>2. Você sabia que "Coração Vagabundo" marcou um período de exílio na vida de Caetano Veloso?</v>
      </c>
      <c r="E41" s="45"/>
      <c r="F41" s="45" t="str">
        <f>"3. "&amp;'BD CAET'!K12</f>
        <v>3. Você sabia que "Coração Vagabundo" é uma das canções mais emblemáticas do movimento Tropicália?</v>
      </c>
      <c r="G41" s="45"/>
    </row>
    <row r="42" spans="2:7" x14ac:dyDescent="0.25"/>
    <row r="43" spans="2:7" ht="23.25" x14ac:dyDescent="0.25">
      <c r="B43" s="4" t="s">
        <v>4</v>
      </c>
      <c r="C43" s="4" t="s">
        <v>5</v>
      </c>
      <c r="D43" s="4" t="s">
        <v>4</v>
      </c>
      <c r="E43" s="4" t="s">
        <v>5</v>
      </c>
      <c r="F43" s="4" t="s">
        <v>4</v>
      </c>
      <c r="G43" s="4" t="s">
        <v>5</v>
      </c>
    </row>
    <row r="44" spans="2:7" ht="23.25" x14ac:dyDescent="0.25">
      <c r="B44" s="5" t="str">
        <f>'BD CAET'!L10</f>
        <v>Sim!</v>
      </c>
      <c r="C44" s="5">
        <f>COUNTIFS('BD CAET'!D:D,1,'BD CAET'!E:E,1)</f>
        <v>2</v>
      </c>
      <c r="D44" s="5" t="str">
        <f>'BD CAET'!L11</f>
        <v>Sim!</v>
      </c>
      <c r="E44" s="5">
        <f>COUNTIFS('BD CAET'!D:D,2,'BD CAET'!E:E,1)</f>
        <v>2</v>
      </c>
      <c r="F44" s="5" t="str">
        <f>'BD CAET'!L12</f>
        <v>Sim, eu sei.</v>
      </c>
      <c r="G44" s="5">
        <f>COUNTIFS('BD CAET'!D:D,3,'BD CAET'!E:E,1)</f>
        <v>2</v>
      </c>
    </row>
    <row r="45" spans="2:7" ht="46.5" x14ac:dyDescent="0.25">
      <c r="B45" s="5" t="str">
        <f>'BD CAET'!M10</f>
        <v>Não.</v>
      </c>
      <c r="C45" s="5">
        <f>COUNTIFS('BD CAET'!D:D,1,'BD CAET'!E:E,2)</f>
        <v>2</v>
      </c>
      <c r="D45" s="6" t="str">
        <f>'BD CAET'!M11</f>
        <v>Não, porém fiquei curioso.</v>
      </c>
      <c r="E45" s="5">
        <f>COUNTIFS('BD CAET'!D:D,2,'BD CAET'!E:E,2)</f>
        <v>2</v>
      </c>
      <c r="F45" s="6" t="str">
        <f>'BD CAET'!M12</f>
        <v>Não, mas quero saber!</v>
      </c>
      <c r="G45" s="5">
        <f>COUNTIFS('BD CAET'!D:D,3,'BD CAET'!E:E,2)</f>
        <v>2</v>
      </c>
    </row>
    <row r="46" spans="2:7" x14ac:dyDescent="0.25">
      <c r="B46" s="48"/>
      <c r="C46" s="48"/>
      <c r="D46" s="48"/>
      <c r="E46" s="48"/>
      <c r="F46" s="48"/>
      <c r="G46" s="48"/>
    </row>
    <row r="47" spans="2:7" x14ac:dyDescent="0.25">
      <c r="B47" s="48"/>
      <c r="C47" s="48"/>
      <c r="D47" s="48"/>
      <c r="E47" s="48"/>
      <c r="F47" s="48"/>
      <c r="G47" s="48"/>
    </row>
    <row r="48" spans="2:7" x14ac:dyDescent="0.25">
      <c r="B48" s="48"/>
      <c r="C48" s="48"/>
      <c r="D48" s="48"/>
      <c r="E48" s="48"/>
      <c r="F48" s="48"/>
      <c r="G48" s="48"/>
    </row>
    <row r="49" spans="2:7" x14ac:dyDescent="0.25">
      <c r="B49" s="48"/>
      <c r="C49" s="48"/>
      <c r="D49" s="48"/>
      <c r="E49" s="48"/>
      <c r="F49" s="48"/>
      <c r="G49" s="48"/>
    </row>
    <row r="50" spans="2:7" x14ac:dyDescent="0.25">
      <c r="B50" s="48"/>
      <c r="C50" s="48"/>
      <c r="D50" s="48"/>
      <c r="E50" s="48"/>
      <c r="F50" s="48"/>
      <c r="G50" s="48"/>
    </row>
    <row r="51" spans="2:7" x14ac:dyDescent="0.25">
      <c r="B51" s="48"/>
      <c r="C51" s="48"/>
      <c r="D51" s="48"/>
      <c r="E51" s="48"/>
      <c r="F51" s="48"/>
      <c r="G51" s="48"/>
    </row>
    <row r="52" spans="2:7" x14ac:dyDescent="0.25">
      <c r="B52" s="48"/>
      <c r="C52" s="48"/>
      <c r="D52" s="48"/>
      <c r="E52" s="48"/>
      <c r="F52" s="48"/>
      <c r="G52" s="48"/>
    </row>
    <row r="53" spans="2:7" x14ac:dyDescent="0.25">
      <c r="B53" s="48"/>
      <c r="C53" s="48"/>
      <c r="D53" s="48"/>
      <c r="E53" s="48"/>
      <c r="F53" s="48"/>
      <c r="G53" s="48"/>
    </row>
    <row r="54" spans="2:7" x14ac:dyDescent="0.25">
      <c r="B54" s="48"/>
      <c r="C54" s="48"/>
      <c r="D54" s="48"/>
      <c r="E54" s="48"/>
      <c r="F54" s="48"/>
      <c r="G54" s="48"/>
    </row>
    <row r="55" spans="2:7" x14ac:dyDescent="0.25">
      <c r="B55" s="48"/>
      <c r="C55" s="48"/>
      <c r="D55" s="48"/>
      <c r="E55" s="48"/>
      <c r="F55" s="48"/>
      <c r="G55" s="48"/>
    </row>
    <row r="56" spans="2:7" x14ac:dyDescent="0.25">
      <c r="B56" s="48"/>
      <c r="C56" s="48"/>
      <c r="D56" s="48"/>
      <c r="E56" s="48"/>
      <c r="F56" s="48"/>
      <c r="G56" s="48"/>
    </row>
    <row r="57" spans="2:7" x14ac:dyDescent="0.25">
      <c r="B57" s="48"/>
      <c r="C57" s="48"/>
      <c r="D57" s="48"/>
      <c r="E57" s="48"/>
      <c r="F57" s="48"/>
      <c r="G57" s="48"/>
    </row>
    <row r="58" spans="2:7" x14ac:dyDescent="0.25">
      <c r="B58" s="48"/>
      <c r="C58" s="48"/>
      <c r="D58" s="48"/>
      <c r="E58" s="48"/>
      <c r="F58" s="48"/>
      <c r="G58" s="48"/>
    </row>
    <row r="59" spans="2:7" x14ac:dyDescent="0.25">
      <c r="B59" s="48"/>
      <c r="C59" s="48"/>
      <c r="D59" s="48"/>
      <c r="E59" s="48"/>
      <c r="F59" s="48"/>
      <c r="G59" s="48"/>
    </row>
    <row r="60" spans="2:7" x14ac:dyDescent="0.25">
      <c r="B60" s="48"/>
      <c r="C60" s="48"/>
      <c r="D60" s="48"/>
      <c r="E60" s="48"/>
      <c r="F60" s="48"/>
      <c r="G60" s="48"/>
    </row>
    <row r="61" spans="2:7" x14ac:dyDescent="0.25">
      <c r="B61" s="48"/>
      <c r="C61" s="48"/>
      <c r="D61" s="48"/>
      <c r="E61" s="48"/>
      <c r="F61" s="48"/>
      <c r="G61" s="48"/>
    </row>
    <row r="62" spans="2:7" x14ac:dyDescent="0.25">
      <c r="B62" s="48"/>
      <c r="C62" s="48"/>
      <c r="D62" s="48"/>
      <c r="E62" s="48"/>
      <c r="F62" s="48"/>
      <c r="G62" s="48"/>
    </row>
    <row r="63" spans="2:7" x14ac:dyDescent="0.25"/>
    <row r="64" spans="2:7" ht="33.75" x14ac:dyDescent="0.25">
      <c r="B64" s="46" t="s">
        <v>8</v>
      </c>
      <c r="C64" s="46"/>
      <c r="D64" s="46"/>
      <c r="E64" s="46"/>
      <c r="F64" s="46"/>
      <c r="G64" s="46"/>
    </row>
    <row r="65" spans="2:7" ht="15" customHeight="1" x14ac:dyDescent="0.25">
      <c r="B65" s="3"/>
      <c r="C65" s="3"/>
      <c r="D65" s="3"/>
      <c r="E65" s="3"/>
      <c r="F65" s="3"/>
      <c r="G65" s="3"/>
    </row>
    <row r="66" spans="2:7" ht="30.75" x14ac:dyDescent="0.25">
      <c r="B66" s="44" t="s">
        <v>3</v>
      </c>
      <c r="C66" s="44"/>
      <c r="D66" s="44"/>
      <c r="E66" s="44"/>
      <c r="F66" s="44"/>
      <c r="G66" s="44"/>
    </row>
    <row r="67" spans="2:7" x14ac:dyDescent="0.25"/>
    <row r="68" spans="2:7" ht="69.95" customHeight="1" x14ac:dyDescent="0.25">
      <c r="B68" s="45" t="str">
        <f>"1. "&amp;'BD CAET'!K17</f>
        <v>1. Você sabia que "Desde que o Samba é Samba" é uma canção notável de Caetano Veloso?</v>
      </c>
      <c r="C68" s="45"/>
      <c r="D68" s="45" t="str">
        <f>"2. "&amp;'BD CAET'!K18</f>
        <v>2. Você sabia que "Desde que o Samba é Samba" faz parte do álbum "Haiti", lançado por Caetano Veloso em 1993?</v>
      </c>
      <c r="E68" s="45"/>
      <c r="F68" s="45" t="str">
        <f>"3. "&amp;'BD CAET'!K19</f>
        <v>3. Você sabia que "Desde que o Samba é Samba" foi influenciada pela música de João Gilberto e pela bossa nova?</v>
      </c>
      <c r="G68" s="45"/>
    </row>
    <row r="69" spans="2:7" x14ac:dyDescent="0.25"/>
    <row r="70" spans="2:7" ht="23.25" x14ac:dyDescent="0.25">
      <c r="B70" s="4" t="s">
        <v>4</v>
      </c>
      <c r="C70" s="4" t="s">
        <v>5</v>
      </c>
      <c r="D70" s="4" t="s">
        <v>4</v>
      </c>
      <c r="E70" s="4" t="s">
        <v>5</v>
      </c>
      <c r="F70" s="4" t="s">
        <v>4</v>
      </c>
      <c r="G70" s="4" t="s">
        <v>5</v>
      </c>
    </row>
    <row r="71" spans="2:7" ht="23.25" x14ac:dyDescent="0.25">
      <c r="B71" s="5" t="str">
        <f>'BD CAET'!L17</f>
        <v>Sim!</v>
      </c>
      <c r="C71" s="5">
        <f>COUNTIFS('BD CAET'!G:G,1,'BD CAET'!H:H,1)</f>
        <v>3</v>
      </c>
      <c r="D71" s="5" t="str">
        <f>'BD CAET'!L18</f>
        <v>Sim!</v>
      </c>
      <c r="E71" s="5">
        <f>COUNTIFS('BD CAET'!G:G,2,'BD CAET'!H:H,1)</f>
        <v>3</v>
      </c>
      <c r="F71" s="5" t="str">
        <f>'BD CAET'!L19</f>
        <v>Sim, eu sei.</v>
      </c>
      <c r="G71" s="5">
        <f>COUNTIFS('BD CAET'!G:G,3,'BD CAET'!H:H,1)</f>
        <v>3</v>
      </c>
    </row>
    <row r="72" spans="2:7" ht="46.5" x14ac:dyDescent="0.25">
      <c r="B72" s="5" t="str">
        <f>'BD CAET'!M17</f>
        <v>Não.</v>
      </c>
      <c r="C72" s="5">
        <f>COUNTIFS('BD CAET'!G:G,1,'BD CAET'!H:H,2)</f>
        <v>1</v>
      </c>
      <c r="D72" s="6" t="str">
        <f>'BD CAET'!M18</f>
        <v>Não, porém fiquei curioso.</v>
      </c>
      <c r="E72" s="5">
        <f>COUNTIFS('BD CAET'!G:G,2,'BD CAET'!H:H,2)</f>
        <v>1</v>
      </c>
      <c r="F72" s="6" t="str">
        <f>'BD CAET'!M19</f>
        <v>Não, mas quero saber!</v>
      </c>
      <c r="G72" s="5">
        <f>COUNTIFS('BD CAET'!G:G,3,'BD CAET'!H:H,2)</f>
        <v>1</v>
      </c>
    </row>
    <row r="73" spans="2:7" x14ac:dyDescent="0.25">
      <c r="B73" s="48"/>
      <c r="C73" s="48"/>
      <c r="D73" s="48"/>
      <c r="E73" s="48"/>
      <c r="F73" s="48"/>
      <c r="G73" s="48"/>
    </row>
    <row r="74" spans="2:7" x14ac:dyDescent="0.25">
      <c r="B74" s="48"/>
      <c r="C74" s="48"/>
      <c r="D74" s="48"/>
      <c r="E74" s="48"/>
      <c r="F74" s="48"/>
      <c r="G74" s="48"/>
    </row>
    <row r="75" spans="2:7" x14ac:dyDescent="0.25">
      <c r="B75" s="48"/>
      <c r="C75" s="48"/>
      <c r="D75" s="48"/>
      <c r="E75" s="48"/>
      <c r="F75" s="48"/>
      <c r="G75" s="48"/>
    </row>
    <row r="76" spans="2:7" x14ac:dyDescent="0.25">
      <c r="B76" s="48"/>
      <c r="C76" s="48"/>
      <c r="D76" s="48"/>
      <c r="E76" s="48"/>
      <c r="F76" s="48"/>
      <c r="G76" s="48"/>
    </row>
    <row r="77" spans="2:7" x14ac:dyDescent="0.25">
      <c r="B77" s="48"/>
      <c r="C77" s="48"/>
      <c r="D77" s="48"/>
      <c r="E77" s="48"/>
      <c r="F77" s="48"/>
      <c r="G77" s="48"/>
    </row>
    <row r="78" spans="2:7" x14ac:dyDescent="0.25">
      <c r="B78" s="48"/>
      <c r="C78" s="48"/>
      <c r="D78" s="48"/>
      <c r="E78" s="48"/>
      <c r="F78" s="48"/>
      <c r="G78" s="48"/>
    </row>
    <row r="79" spans="2:7" x14ac:dyDescent="0.25">
      <c r="B79" s="48"/>
      <c r="C79" s="48"/>
      <c r="D79" s="48"/>
      <c r="E79" s="48"/>
      <c r="F79" s="48"/>
      <c r="G79" s="48"/>
    </row>
    <row r="80" spans="2:7" x14ac:dyDescent="0.25">
      <c r="B80" s="48"/>
      <c r="C80" s="48"/>
      <c r="D80" s="48"/>
      <c r="E80" s="48"/>
      <c r="F80" s="48"/>
      <c r="G80" s="48"/>
    </row>
    <row r="81" spans="2:7" x14ac:dyDescent="0.25">
      <c r="B81" s="48"/>
      <c r="C81" s="48"/>
      <c r="D81" s="48"/>
      <c r="E81" s="48"/>
      <c r="F81" s="48"/>
      <c r="G81" s="48"/>
    </row>
    <row r="82" spans="2:7" x14ac:dyDescent="0.25">
      <c r="B82" s="48"/>
      <c r="C82" s="48"/>
      <c r="D82" s="48"/>
      <c r="E82" s="48"/>
      <c r="F82" s="48"/>
      <c r="G82" s="48"/>
    </row>
    <row r="83" spans="2:7" x14ac:dyDescent="0.25">
      <c r="B83" s="48"/>
      <c r="C83" s="48"/>
      <c r="D83" s="48"/>
      <c r="E83" s="48"/>
      <c r="F83" s="48"/>
      <c r="G83" s="48"/>
    </row>
    <row r="84" spans="2:7" x14ac:dyDescent="0.25">
      <c r="B84" s="48"/>
      <c r="C84" s="48"/>
      <c r="D84" s="48"/>
      <c r="E84" s="48"/>
      <c r="F84" s="48"/>
      <c r="G84" s="48"/>
    </row>
    <row r="85" spans="2:7" x14ac:dyDescent="0.25">
      <c r="B85" s="48"/>
      <c r="C85" s="48"/>
      <c r="D85" s="48"/>
      <c r="E85" s="48"/>
      <c r="F85" s="48"/>
      <c r="G85" s="48"/>
    </row>
    <row r="86" spans="2:7" x14ac:dyDescent="0.25">
      <c r="B86" s="48"/>
      <c r="C86" s="48"/>
      <c r="D86" s="48"/>
      <c r="E86" s="48"/>
      <c r="F86" s="48"/>
      <c r="G86" s="48"/>
    </row>
    <row r="87" spans="2:7" x14ac:dyDescent="0.25">
      <c r="B87" s="48"/>
      <c r="C87" s="48"/>
      <c r="D87" s="48"/>
      <c r="E87" s="48"/>
      <c r="F87" s="48"/>
      <c r="G87" s="48"/>
    </row>
    <row r="88" spans="2:7" x14ac:dyDescent="0.25">
      <c r="B88" s="48"/>
      <c r="C88" s="48"/>
      <c r="D88" s="48"/>
      <c r="E88" s="48"/>
      <c r="F88" s="48"/>
      <c r="G88" s="48"/>
    </row>
    <row r="89" spans="2:7" x14ac:dyDescent="0.25">
      <c r="B89" s="48"/>
      <c r="C89" s="48"/>
      <c r="D89" s="48"/>
      <c r="E89" s="48"/>
      <c r="F89" s="48"/>
      <c r="G89" s="48"/>
    </row>
    <row r="90" spans="2:7" x14ac:dyDescent="0.25"/>
  </sheetData>
  <mergeCells count="28">
    <mergeCell ref="B73:C89"/>
    <mergeCell ref="D73:E89"/>
    <mergeCell ref="F73:G89"/>
    <mergeCell ref="B3:D3"/>
    <mergeCell ref="E3:G3"/>
    <mergeCell ref="B64:G64"/>
    <mergeCell ref="B66:G66"/>
    <mergeCell ref="B68:C68"/>
    <mergeCell ref="D68:E68"/>
    <mergeCell ref="F68:G68"/>
    <mergeCell ref="B41:C41"/>
    <mergeCell ref="D41:E41"/>
    <mergeCell ref="F41:G41"/>
    <mergeCell ref="B46:C62"/>
    <mergeCell ref="D46:E62"/>
    <mergeCell ref="F46:G62"/>
    <mergeCell ref="B19:C35"/>
    <mergeCell ref="D19:E35"/>
    <mergeCell ref="F19:G35"/>
    <mergeCell ref="B37:G37"/>
    <mergeCell ref="B39:G39"/>
    <mergeCell ref="B1:G1"/>
    <mergeCell ref="B12:G12"/>
    <mergeCell ref="D14:E14"/>
    <mergeCell ref="F14:G14"/>
    <mergeCell ref="B10:G10"/>
    <mergeCell ref="B14:C14"/>
    <mergeCell ref="B5:G5"/>
  </mergeCells>
  <pageMargins left="0.25" right="0.25" top="0.75" bottom="0.75" header="0.3" footer="0.3"/>
  <pageSetup paperSize="9" scale="37"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C0645-1CC0-42B7-A767-6A37A0351A3D}">
  <sheetPr codeName="Planilha3">
    <pageSetUpPr fitToPage="1"/>
  </sheetPr>
  <dimension ref="A1:J90"/>
  <sheetViews>
    <sheetView showGridLines="0" topLeftCell="A16" zoomScale="70" zoomScaleNormal="70" workbookViewId="0">
      <selection activeCell="E3" sqref="E3:G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3" t="s">
        <v>99</v>
      </c>
      <c r="C1" s="43"/>
      <c r="D1" s="43"/>
      <c r="E1" s="43"/>
      <c r="F1" s="43"/>
      <c r="G1" s="43"/>
    </row>
    <row r="2" spans="2:7" x14ac:dyDescent="0.25"/>
    <row r="3" spans="2:7" ht="44.25" customHeight="1" x14ac:dyDescent="0.25">
      <c r="B3" s="49" t="s">
        <v>6</v>
      </c>
      <c r="C3" s="49"/>
      <c r="D3" s="49"/>
      <c r="E3" s="49">
        <f>GETPIVOTDATA("Dilermando Reis",'BD DILERM'!$J$21)</f>
        <v>1</v>
      </c>
      <c r="F3" s="49"/>
      <c r="G3" s="49"/>
    </row>
    <row r="4" spans="2:7" ht="15" customHeight="1" x14ac:dyDescent="0.25">
      <c r="B4" s="7"/>
      <c r="C4" s="7"/>
      <c r="D4" s="7"/>
      <c r="E4" s="7"/>
      <c r="F4" s="7"/>
      <c r="G4" s="7"/>
    </row>
    <row r="5" spans="2:7" ht="45.75" x14ac:dyDescent="0.25">
      <c r="B5" s="47" t="s">
        <v>1</v>
      </c>
      <c r="C5" s="47"/>
      <c r="D5" s="47"/>
      <c r="E5" s="47"/>
      <c r="F5" s="47"/>
      <c r="G5" s="47"/>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6" t="s">
        <v>60</v>
      </c>
      <c r="C10" s="46"/>
      <c r="D10" s="46"/>
      <c r="E10" s="46"/>
      <c r="F10" s="46"/>
      <c r="G10" s="46"/>
    </row>
    <row r="11" spans="2:7" ht="15" customHeight="1" x14ac:dyDescent="0.25">
      <c r="B11" s="3"/>
      <c r="C11" s="3"/>
      <c r="D11" s="3"/>
      <c r="E11" s="3"/>
      <c r="F11" s="3"/>
      <c r="G11" s="3"/>
    </row>
    <row r="12" spans="2:7" ht="30.75" x14ac:dyDescent="0.25">
      <c r="B12" s="44" t="s">
        <v>3</v>
      </c>
      <c r="C12" s="44"/>
      <c r="D12" s="44"/>
      <c r="E12" s="44"/>
      <c r="F12" s="44"/>
      <c r="G12" s="44"/>
    </row>
    <row r="13" spans="2:7" x14ac:dyDescent="0.25"/>
    <row r="14" spans="2:7" ht="99" customHeight="1" x14ac:dyDescent="0.25">
      <c r="B14" s="45" t="str">
        <f>"1. "&amp;'BD DILERM'!K3</f>
        <v>1. Você sabia que "Abismo de Rosas" é uma composição de Dilermando Reis que evoca uma sensação de melancolia e nostalgia? Além disso, a peça foi inspirada por um amor não correspondido, o que confere uma camada de emotividade à música.</v>
      </c>
      <c r="C14" s="45"/>
      <c r="D14" s="45" t="str">
        <f>"2. "&amp;'BD DILERM'!K4</f>
        <v>2. Você sabia que Abismo de Rosas" é uma das composições mais complexas tecnicamente de Dilermando Reis? Além disso, a música é conhecida por sua fusão única de influências clássicas e populares, tornando-a uma obra musical versátil."</v>
      </c>
      <c r="E14" s="45"/>
      <c r="F14" s="45" t="str">
        <f>"3. "&amp;'BD DILERM'!K5</f>
        <v>3. Você sabia que "Abismo de Rosas" é uma das músicas mais icônicas de Dilermando Reis, amplamente apreciada por sua beleza melódica e virtuosismo no violão? Além disso, a composição é frequentemente usada em trilhas sonoras de filmes e séries, aumentando sua popularidade.</v>
      </c>
      <c r="G14" s="45"/>
    </row>
    <row r="15" spans="2:7" x14ac:dyDescent="0.25"/>
    <row r="16" spans="2:7" ht="23.25" x14ac:dyDescent="0.25">
      <c r="B16" s="4" t="s">
        <v>4</v>
      </c>
      <c r="C16" s="4" t="s">
        <v>5</v>
      </c>
      <c r="D16" s="4" t="s">
        <v>4</v>
      </c>
      <c r="E16" s="4" t="s">
        <v>5</v>
      </c>
      <c r="F16" s="4" t="s">
        <v>4</v>
      </c>
      <c r="G16" s="4" t="s">
        <v>5</v>
      </c>
    </row>
    <row r="17" spans="2:7" ht="23.25" x14ac:dyDescent="0.25">
      <c r="B17" s="5" t="str">
        <f>'BD DILERM'!L3</f>
        <v>Sim!</v>
      </c>
      <c r="C17" s="5">
        <f>COUNTIFS('BD DILERM'!A:A,1,'BD DILERM'!B:B,1)</f>
        <v>3</v>
      </c>
      <c r="D17" s="5" t="str">
        <f>'BD DILERM'!L4</f>
        <v>Sim!</v>
      </c>
      <c r="E17" s="5">
        <f>COUNTIFS('BD DILERM'!A:A,2,'BD DILERM'!B:B,1)</f>
        <v>1</v>
      </c>
      <c r="F17" s="5" t="str">
        <f>'BD DILERM'!L5</f>
        <v>Sim, eu sei!</v>
      </c>
      <c r="G17" s="5">
        <f>COUNTIFS('BD DILERM'!A:A,3,'BD DILERM'!B:B,1)</f>
        <v>3</v>
      </c>
    </row>
    <row r="18" spans="2:7" ht="84" customHeight="1" x14ac:dyDescent="0.25">
      <c r="B18" s="5" t="str">
        <f>'BD DILERM'!M3</f>
        <v>Não.</v>
      </c>
      <c r="C18" s="5">
        <f>COUNTIFS('BD DILERM'!A:A,1,'BD DILERM'!B:B,2)</f>
        <v>1</v>
      </c>
      <c r="D18" s="6" t="str">
        <f>'BD DILERM'!M4</f>
        <v>Não, porém quero saber o por quê.</v>
      </c>
      <c r="E18" s="5">
        <f>COUNTIFS('BD DILERM'!A:A,2,'BD DILERM'!B:B,2)</f>
        <v>3</v>
      </c>
      <c r="F18" s="6" t="str">
        <f>'BD DILERM'!M5</f>
        <v>Não, porém achei interessante! Me diga mais sobre.</v>
      </c>
      <c r="G18" s="5">
        <f>COUNTIFS('BD DILERM'!A:A,3,'BD DILERM'!B:B,2)</f>
        <v>1</v>
      </c>
    </row>
    <row r="19" spans="2:7" x14ac:dyDescent="0.25">
      <c r="B19" s="48"/>
      <c r="C19" s="48"/>
      <c r="D19" s="48"/>
      <c r="E19" s="48"/>
      <c r="F19" s="48"/>
      <c r="G19" s="48"/>
    </row>
    <row r="20" spans="2:7" x14ac:dyDescent="0.25">
      <c r="B20" s="48"/>
      <c r="C20" s="48"/>
      <c r="D20" s="48"/>
      <c r="E20" s="48"/>
      <c r="F20" s="48"/>
      <c r="G20" s="48"/>
    </row>
    <row r="21" spans="2:7" x14ac:dyDescent="0.25">
      <c r="B21" s="48"/>
      <c r="C21" s="48"/>
      <c r="D21" s="48"/>
      <c r="E21" s="48"/>
      <c r="F21" s="48"/>
      <c r="G21" s="48"/>
    </row>
    <row r="22" spans="2:7" x14ac:dyDescent="0.25">
      <c r="B22" s="48"/>
      <c r="C22" s="48"/>
      <c r="D22" s="48"/>
      <c r="E22" s="48"/>
      <c r="F22" s="48"/>
      <c r="G22" s="48"/>
    </row>
    <row r="23" spans="2:7" x14ac:dyDescent="0.25">
      <c r="B23" s="48"/>
      <c r="C23" s="48"/>
      <c r="D23" s="48"/>
      <c r="E23" s="48"/>
      <c r="F23" s="48"/>
      <c r="G23" s="48"/>
    </row>
    <row r="24" spans="2:7" x14ac:dyDescent="0.25">
      <c r="B24" s="48"/>
      <c r="C24" s="48"/>
      <c r="D24" s="48"/>
      <c r="E24" s="48"/>
      <c r="F24" s="48"/>
      <c r="G24" s="48"/>
    </row>
    <row r="25" spans="2:7" x14ac:dyDescent="0.25">
      <c r="B25" s="48"/>
      <c r="C25" s="48"/>
      <c r="D25" s="48"/>
      <c r="E25" s="48"/>
      <c r="F25" s="48"/>
      <c r="G25" s="48"/>
    </row>
    <row r="26" spans="2:7" x14ac:dyDescent="0.25">
      <c r="B26" s="48"/>
      <c r="C26" s="48"/>
      <c r="D26" s="48"/>
      <c r="E26" s="48"/>
      <c r="F26" s="48"/>
      <c r="G26" s="48"/>
    </row>
    <row r="27" spans="2:7" x14ac:dyDescent="0.25">
      <c r="B27" s="48"/>
      <c r="C27" s="48"/>
      <c r="D27" s="48"/>
      <c r="E27" s="48"/>
      <c r="F27" s="48"/>
      <c r="G27" s="48"/>
    </row>
    <row r="28" spans="2:7" x14ac:dyDescent="0.25">
      <c r="B28" s="48"/>
      <c r="C28" s="48"/>
      <c r="D28" s="48"/>
      <c r="E28" s="48"/>
      <c r="F28" s="48"/>
      <c r="G28" s="48"/>
    </row>
    <row r="29" spans="2:7" x14ac:dyDescent="0.25">
      <c r="B29" s="48"/>
      <c r="C29" s="48"/>
      <c r="D29" s="48"/>
      <c r="E29" s="48"/>
      <c r="F29" s="48"/>
      <c r="G29" s="48"/>
    </row>
    <row r="30" spans="2:7" x14ac:dyDescent="0.25">
      <c r="B30" s="48"/>
      <c r="C30" s="48"/>
      <c r="D30" s="48"/>
      <c r="E30" s="48"/>
      <c r="F30" s="48"/>
      <c r="G30" s="48"/>
    </row>
    <row r="31" spans="2:7" x14ac:dyDescent="0.25">
      <c r="B31" s="48"/>
      <c r="C31" s="48"/>
      <c r="D31" s="48"/>
      <c r="E31" s="48"/>
      <c r="F31" s="48"/>
      <c r="G31" s="48"/>
    </row>
    <row r="32" spans="2:7" x14ac:dyDescent="0.25">
      <c r="B32" s="48"/>
      <c r="C32" s="48"/>
      <c r="D32" s="48"/>
      <c r="E32" s="48"/>
      <c r="F32" s="48"/>
      <c r="G32" s="48"/>
    </row>
    <row r="33" spans="2:7" x14ac:dyDescent="0.25">
      <c r="B33" s="48"/>
      <c r="C33" s="48"/>
      <c r="D33" s="48"/>
      <c r="E33" s="48"/>
      <c r="F33" s="48"/>
      <c r="G33" s="48"/>
    </row>
    <row r="34" spans="2:7" x14ac:dyDescent="0.25">
      <c r="B34" s="48"/>
      <c r="C34" s="48"/>
      <c r="D34" s="48"/>
      <c r="E34" s="48"/>
      <c r="F34" s="48"/>
      <c r="G34" s="48"/>
    </row>
    <row r="35" spans="2:7" x14ac:dyDescent="0.25">
      <c r="B35" s="48"/>
      <c r="C35" s="48"/>
      <c r="D35" s="48"/>
      <c r="E35" s="48"/>
      <c r="F35" s="48"/>
      <c r="G35" s="48"/>
    </row>
    <row r="36" spans="2:7" x14ac:dyDescent="0.25"/>
    <row r="37" spans="2:7" ht="33.75" x14ac:dyDescent="0.25">
      <c r="B37" s="46" t="s">
        <v>61</v>
      </c>
      <c r="C37" s="46"/>
      <c r="D37" s="46"/>
      <c r="E37" s="46"/>
      <c r="F37" s="46"/>
      <c r="G37" s="46"/>
    </row>
    <row r="38" spans="2:7" ht="15" customHeight="1" x14ac:dyDescent="0.25">
      <c r="B38" s="3"/>
      <c r="C38" s="3"/>
      <c r="D38" s="3"/>
      <c r="E38" s="3"/>
      <c r="F38" s="3"/>
      <c r="G38" s="3"/>
    </row>
    <row r="39" spans="2:7" ht="30.75" x14ac:dyDescent="0.25">
      <c r="B39" s="44" t="s">
        <v>3</v>
      </c>
      <c r="C39" s="44"/>
      <c r="D39" s="44"/>
      <c r="E39" s="44"/>
      <c r="F39" s="44"/>
      <c r="G39" s="44"/>
    </row>
    <row r="40" spans="2:7" x14ac:dyDescent="0.25"/>
    <row r="41" spans="2:7" ht="117.75" customHeight="1" x14ac:dyDescent="0.25">
      <c r="B41" s="45" t="str">
        <f>"1. "&amp;'BD DILERM'!K9</f>
        <v>1. Você sabia que "Noite de Lua" de Dilermando Reis é uma composição que transmite uma atmosfera de calma e contemplação noturna? Além disso, a música foi inspirada em uma noite particularmente estrelada na cidade do Rio de Janeiro.</v>
      </c>
      <c r="C41" s="45"/>
      <c r="D41" s="45" t="str">
        <f>"2. "&amp;'BD DILERM'!K10</f>
        <v>2. Você sabia que "Noite de Lua" é uma composição de Dilermando Reis que apresenta uma sequência de acordes desafiadora, o que a torna um exercício valioso para estudantes de violão que desejam aprimorar suas habilidades técnicas?</v>
      </c>
      <c r="E41" s="45"/>
      <c r="F41" s="45" t="str">
        <f>"3. "&amp;'BD DILERM'!K11</f>
        <v>3. Você sabia que "Noite de Lua" é considerada uma das músicas mais icônicas de Dilermando Reis, apreciada por sua beleza melódica e pela maneira como captura a atmosfera noturna em suas notas musicais?"</v>
      </c>
      <c r="G41" s="45"/>
    </row>
    <row r="42" spans="2:7" x14ac:dyDescent="0.25"/>
    <row r="43" spans="2:7" ht="23.25" x14ac:dyDescent="0.25">
      <c r="B43" s="4" t="s">
        <v>4</v>
      </c>
      <c r="C43" s="4" t="s">
        <v>5</v>
      </c>
      <c r="D43" s="4" t="s">
        <v>4</v>
      </c>
      <c r="E43" s="4" t="s">
        <v>5</v>
      </c>
      <c r="F43" s="4" t="s">
        <v>4</v>
      </c>
      <c r="G43" s="4" t="s">
        <v>5</v>
      </c>
    </row>
    <row r="44" spans="2:7" ht="23.25" x14ac:dyDescent="0.25">
      <c r="B44" s="5" t="str">
        <f>'BD DILERM'!L9</f>
        <v>Sim!</v>
      </c>
      <c r="C44" s="5">
        <f>COUNTIFS('BD DILERM'!D:D,1,'BD DILERM'!E:E,1)</f>
        <v>1</v>
      </c>
      <c r="D44" s="5" t="str">
        <f>'BD DILERM'!L10</f>
        <v>Sim!</v>
      </c>
      <c r="E44" s="5">
        <f>COUNTIFS('BD DILERM'!D:D,2,'BD DILERM'!E:E,1)</f>
        <v>1</v>
      </c>
      <c r="F44" s="5" t="str">
        <f>'BD DILERM'!L11</f>
        <v>Sim, eu sei!</v>
      </c>
      <c r="G44" s="5">
        <f>COUNTIFS('BD DILERM'!D:D,3,'BD DILERM'!E:E,1)</f>
        <v>1</v>
      </c>
    </row>
    <row r="45" spans="2:7" ht="69.75" x14ac:dyDescent="0.25">
      <c r="B45" s="6" t="str">
        <f>'BD DILERM'!M9</f>
        <v>Não, mas me conte mais.</v>
      </c>
      <c r="C45" s="5">
        <f>COUNTIFS('BD DILERM'!D:D,1,'BD DILERM'!E:E,2)</f>
        <v>0</v>
      </c>
      <c r="D45" s="6" t="str">
        <f>'BD DILERM'!M10</f>
        <v>Não, mas me conte o por quê.</v>
      </c>
      <c r="E45" s="5">
        <f>COUNTIFS('BD DILERM'!D:D,2,'BD DILERM'!E:E,2)</f>
        <v>0</v>
      </c>
      <c r="F45" s="6" t="str">
        <f>'BD DILERM'!M11</f>
        <v>Não, porém achei interessante! Me diga mais sobre.</v>
      </c>
      <c r="G45" s="5">
        <f>COUNTIFS('BD DILERM'!D:D,3,'BD DILERM'!E:E,2)</f>
        <v>0</v>
      </c>
    </row>
    <row r="46" spans="2:7" x14ac:dyDescent="0.25">
      <c r="B46" s="48"/>
      <c r="C46" s="48"/>
      <c r="D46" s="48"/>
      <c r="E46" s="48"/>
      <c r="F46" s="48"/>
      <c r="G46" s="48"/>
    </row>
    <row r="47" spans="2:7" x14ac:dyDescent="0.25">
      <c r="B47" s="48"/>
      <c r="C47" s="48"/>
      <c r="D47" s="48"/>
      <c r="E47" s="48"/>
      <c r="F47" s="48"/>
      <c r="G47" s="48"/>
    </row>
    <row r="48" spans="2:7" x14ac:dyDescent="0.25">
      <c r="B48" s="48"/>
      <c r="C48" s="48"/>
      <c r="D48" s="48"/>
      <c r="E48" s="48"/>
      <c r="F48" s="48"/>
      <c r="G48" s="48"/>
    </row>
    <row r="49" spans="2:7" x14ac:dyDescent="0.25">
      <c r="B49" s="48"/>
      <c r="C49" s="48"/>
      <c r="D49" s="48"/>
      <c r="E49" s="48"/>
      <c r="F49" s="48"/>
      <c r="G49" s="48"/>
    </row>
    <row r="50" spans="2:7" x14ac:dyDescent="0.25">
      <c r="B50" s="48"/>
      <c r="C50" s="48"/>
      <c r="D50" s="48"/>
      <c r="E50" s="48"/>
      <c r="F50" s="48"/>
      <c r="G50" s="48"/>
    </row>
    <row r="51" spans="2:7" x14ac:dyDescent="0.25">
      <c r="B51" s="48"/>
      <c r="C51" s="48"/>
      <c r="D51" s="48"/>
      <c r="E51" s="48"/>
      <c r="F51" s="48"/>
      <c r="G51" s="48"/>
    </row>
    <row r="52" spans="2:7" x14ac:dyDescent="0.25">
      <c r="B52" s="48"/>
      <c r="C52" s="48"/>
      <c r="D52" s="48"/>
      <c r="E52" s="48"/>
      <c r="F52" s="48"/>
      <c r="G52" s="48"/>
    </row>
    <row r="53" spans="2:7" x14ac:dyDescent="0.25">
      <c r="B53" s="48"/>
      <c r="C53" s="48"/>
      <c r="D53" s="48"/>
      <c r="E53" s="48"/>
      <c r="F53" s="48"/>
      <c r="G53" s="48"/>
    </row>
    <row r="54" spans="2:7" x14ac:dyDescent="0.25">
      <c r="B54" s="48"/>
      <c r="C54" s="48"/>
      <c r="D54" s="48"/>
      <c r="E54" s="48"/>
      <c r="F54" s="48"/>
      <c r="G54" s="48"/>
    </row>
    <row r="55" spans="2:7" x14ac:dyDescent="0.25">
      <c r="B55" s="48"/>
      <c r="C55" s="48"/>
      <c r="D55" s="48"/>
      <c r="E55" s="48"/>
      <c r="F55" s="48"/>
      <c r="G55" s="48"/>
    </row>
    <row r="56" spans="2:7" x14ac:dyDescent="0.25">
      <c r="B56" s="48"/>
      <c r="C56" s="48"/>
      <c r="D56" s="48"/>
      <c r="E56" s="48"/>
      <c r="F56" s="48"/>
      <c r="G56" s="48"/>
    </row>
    <row r="57" spans="2:7" x14ac:dyDescent="0.25">
      <c r="B57" s="48"/>
      <c r="C57" s="48"/>
      <c r="D57" s="48"/>
      <c r="E57" s="48"/>
      <c r="F57" s="48"/>
      <c r="G57" s="48"/>
    </row>
    <row r="58" spans="2:7" x14ac:dyDescent="0.25">
      <c r="B58" s="48"/>
      <c r="C58" s="48"/>
      <c r="D58" s="48"/>
      <c r="E58" s="48"/>
      <c r="F58" s="48"/>
      <c r="G58" s="48"/>
    </row>
    <row r="59" spans="2:7" x14ac:dyDescent="0.25">
      <c r="B59" s="48"/>
      <c r="C59" s="48"/>
      <c r="D59" s="48"/>
      <c r="E59" s="48"/>
      <c r="F59" s="48"/>
      <c r="G59" s="48"/>
    </row>
    <row r="60" spans="2:7" x14ac:dyDescent="0.25">
      <c r="B60" s="48"/>
      <c r="C60" s="48"/>
      <c r="D60" s="48"/>
      <c r="E60" s="48"/>
      <c r="F60" s="48"/>
      <c r="G60" s="48"/>
    </row>
    <row r="61" spans="2:7" x14ac:dyDescent="0.25">
      <c r="B61" s="48"/>
      <c r="C61" s="48"/>
      <c r="D61" s="48"/>
      <c r="E61" s="48"/>
      <c r="F61" s="48"/>
      <c r="G61" s="48"/>
    </row>
    <row r="62" spans="2:7" x14ac:dyDescent="0.25">
      <c r="B62" s="48"/>
      <c r="C62" s="48"/>
      <c r="D62" s="48"/>
      <c r="E62" s="48"/>
      <c r="F62" s="48"/>
      <c r="G62" s="48"/>
    </row>
    <row r="63" spans="2:7" x14ac:dyDescent="0.25"/>
    <row r="64" spans="2:7" ht="33.75" x14ac:dyDescent="0.25">
      <c r="B64" s="46" t="s">
        <v>97</v>
      </c>
      <c r="C64" s="46"/>
      <c r="D64" s="46"/>
      <c r="E64" s="46"/>
      <c r="F64" s="46"/>
      <c r="G64" s="46"/>
    </row>
    <row r="65" spans="2:7" ht="15" customHeight="1" x14ac:dyDescent="0.25">
      <c r="B65" s="3"/>
      <c r="C65" s="3"/>
      <c r="D65" s="3"/>
      <c r="E65" s="3"/>
      <c r="F65" s="3"/>
      <c r="G65" s="3"/>
    </row>
    <row r="66" spans="2:7" ht="30.75" x14ac:dyDescent="0.25">
      <c r="B66" s="44" t="s">
        <v>3</v>
      </c>
      <c r="C66" s="44"/>
      <c r="D66" s="44"/>
      <c r="E66" s="44"/>
      <c r="F66" s="44"/>
      <c r="G66" s="44"/>
    </row>
    <row r="67" spans="2:7" x14ac:dyDescent="0.25"/>
    <row r="68" spans="2:7" ht="108.75" customHeight="1" x14ac:dyDescent="0.25">
      <c r="B68" s="45" t="str">
        <f>"1. "&amp;'BD DILERM'!K15</f>
        <v>1. Você sabia que "Se Ela Perguntar" é uma composição de Dilermando Reis que transmite um sentimento de alegria e celebração?</v>
      </c>
      <c r="C68" s="45"/>
      <c r="D68" s="45" t="str">
        <f>"2. "&amp;'BD DILERM'!K16</f>
        <v>2. Você sabia que "Se Ela Perguntar" é frequentemente escolhida por músicos para demonstrar sua habilidade no violão devido à sua complexidade técnica?</v>
      </c>
      <c r="E68" s="45"/>
      <c r="F68" s="45" t="str">
        <f>"3. "&amp;'BD DILERM'!K17</f>
        <v xml:space="preserve">3. Você sabia que “Se Ela Perguntar” é uma composição criada por Dilermando Reis, a partir do momento em que o mesmo estava prestes a pedir sua esposa em casamento? Sua melodia suave e calma já expõe isso. </v>
      </c>
      <c r="G68" s="45"/>
    </row>
    <row r="69" spans="2:7" x14ac:dyDescent="0.25"/>
    <row r="70" spans="2:7" ht="23.25" x14ac:dyDescent="0.25">
      <c r="B70" s="4" t="s">
        <v>4</v>
      </c>
      <c r="C70" s="4" t="s">
        <v>5</v>
      </c>
      <c r="D70" s="4" t="s">
        <v>4</v>
      </c>
      <c r="E70" s="4" t="s">
        <v>5</v>
      </c>
      <c r="F70" s="4" t="s">
        <v>4</v>
      </c>
      <c r="G70" s="4" t="s">
        <v>5</v>
      </c>
    </row>
    <row r="71" spans="2:7" ht="23.25" x14ac:dyDescent="0.25">
      <c r="B71" s="5" t="str">
        <f>'BD DILERM'!L15</f>
        <v>Sim!</v>
      </c>
      <c r="C71" s="5">
        <f>COUNTIFS('BD DILERM'!G:G,1,'BD DILERM'!H:H,1)</f>
        <v>3</v>
      </c>
      <c r="D71" s="5" t="str">
        <f>'BD DILERM'!L16</f>
        <v>Sim!</v>
      </c>
      <c r="E71" s="5">
        <f>COUNTIFS('BD DILERM'!G:G,2,'BD DILERM'!H:H,1)</f>
        <v>2</v>
      </c>
      <c r="F71" s="5" t="str">
        <f>'BD DILERM'!L17</f>
        <v>Sim, eu sei.</v>
      </c>
      <c r="G71" s="5">
        <f>COUNTIFS('BD DILERM'!G:G,3,'BD DILERM'!H:H,1)</f>
        <v>2</v>
      </c>
    </row>
    <row r="72" spans="2:7" ht="58.5" customHeight="1" x14ac:dyDescent="0.25">
      <c r="B72" s="6" t="str">
        <f>'BD DILERM'!M15</f>
        <v>Não.</v>
      </c>
      <c r="C72" s="5">
        <f>COUNTIFS('BD DILERM'!G:G,1,'BD DILERM'!H:H,2)</f>
        <v>0</v>
      </c>
      <c r="D72" s="6" t="str">
        <f>'BD DILERM'!M16</f>
        <v>Não, porém quero saber o por quê.</v>
      </c>
      <c r="E72" s="5">
        <f>COUNTIFS('BD DILERM'!G:G,2,'BD DILERM'!H:H,2)</f>
        <v>1</v>
      </c>
      <c r="F72" s="6" t="str">
        <f>'BD DILERM'!M17</f>
        <v>Não, mas quero saber!</v>
      </c>
      <c r="G72" s="5">
        <f>COUNTIFS('BD DILERM'!G:G,3,'BD DILERM'!H:H,2)</f>
        <v>1</v>
      </c>
    </row>
    <row r="73" spans="2:7" x14ac:dyDescent="0.25">
      <c r="B73" s="48"/>
      <c r="C73" s="48"/>
      <c r="D73" s="48"/>
      <c r="E73" s="48"/>
      <c r="F73" s="48"/>
      <c r="G73" s="48"/>
    </row>
    <row r="74" spans="2:7" x14ac:dyDescent="0.25">
      <c r="B74" s="48"/>
      <c r="C74" s="48"/>
      <c r="D74" s="48"/>
      <c r="E74" s="48"/>
      <c r="F74" s="48"/>
      <c r="G74" s="48"/>
    </row>
    <row r="75" spans="2:7" x14ac:dyDescent="0.25">
      <c r="B75" s="48"/>
      <c r="C75" s="48"/>
      <c r="D75" s="48"/>
      <c r="E75" s="48"/>
      <c r="F75" s="48"/>
      <c r="G75" s="48"/>
    </row>
    <row r="76" spans="2:7" x14ac:dyDescent="0.25">
      <c r="B76" s="48"/>
      <c r="C76" s="48"/>
      <c r="D76" s="48"/>
      <c r="E76" s="48"/>
      <c r="F76" s="48"/>
      <c r="G76" s="48"/>
    </row>
    <row r="77" spans="2:7" x14ac:dyDescent="0.25">
      <c r="B77" s="48"/>
      <c r="C77" s="48"/>
      <c r="D77" s="48"/>
      <c r="E77" s="48"/>
      <c r="F77" s="48"/>
      <c r="G77" s="48"/>
    </row>
    <row r="78" spans="2:7" x14ac:dyDescent="0.25">
      <c r="B78" s="48"/>
      <c r="C78" s="48"/>
      <c r="D78" s="48"/>
      <c r="E78" s="48"/>
      <c r="F78" s="48"/>
      <c r="G78" s="48"/>
    </row>
    <row r="79" spans="2:7" x14ac:dyDescent="0.25">
      <c r="B79" s="48"/>
      <c r="C79" s="48"/>
      <c r="D79" s="48"/>
      <c r="E79" s="48"/>
      <c r="F79" s="48"/>
      <c r="G79" s="48"/>
    </row>
    <row r="80" spans="2:7" x14ac:dyDescent="0.25">
      <c r="B80" s="48"/>
      <c r="C80" s="48"/>
      <c r="D80" s="48"/>
      <c r="E80" s="48"/>
      <c r="F80" s="48"/>
      <c r="G80" s="48"/>
    </row>
    <row r="81" spans="2:7" x14ac:dyDescent="0.25">
      <c r="B81" s="48"/>
      <c r="C81" s="48"/>
      <c r="D81" s="48"/>
      <c r="E81" s="48"/>
      <c r="F81" s="48"/>
      <c r="G81" s="48"/>
    </row>
    <row r="82" spans="2:7" x14ac:dyDescent="0.25">
      <c r="B82" s="48"/>
      <c r="C82" s="48"/>
      <c r="D82" s="48"/>
      <c r="E82" s="48"/>
      <c r="F82" s="48"/>
      <c r="G82" s="48"/>
    </row>
    <row r="83" spans="2:7" x14ac:dyDescent="0.25">
      <c r="B83" s="48"/>
      <c r="C83" s="48"/>
      <c r="D83" s="48"/>
      <c r="E83" s="48"/>
      <c r="F83" s="48"/>
      <c r="G83" s="48"/>
    </row>
    <row r="84" spans="2:7" x14ac:dyDescent="0.25">
      <c r="B84" s="48"/>
      <c r="C84" s="48"/>
      <c r="D84" s="48"/>
      <c r="E84" s="48"/>
      <c r="F84" s="48"/>
      <c r="G84" s="48"/>
    </row>
    <row r="85" spans="2:7" x14ac:dyDescent="0.25">
      <c r="B85" s="48"/>
      <c r="C85" s="48"/>
      <c r="D85" s="48"/>
      <c r="E85" s="48"/>
      <c r="F85" s="48"/>
      <c r="G85" s="48"/>
    </row>
    <row r="86" spans="2:7" x14ac:dyDescent="0.25">
      <c r="B86" s="48"/>
      <c r="C86" s="48"/>
      <c r="D86" s="48"/>
      <c r="E86" s="48"/>
      <c r="F86" s="48"/>
      <c r="G86" s="48"/>
    </row>
    <row r="87" spans="2:7" x14ac:dyDescent="0.25">
      <c r="B87" s="48"/>
      <c r="C87" s="48"/>
      <c r="D87" s="48"/>
      <c r="E87" s="48"/>
      <c r="F87" s="48"/>
      <c r="G87" s="48"/>
    </row>
    <row r="88" spans="2:7" x14ac:dyDescent="0.25">
      <c r="B88" s="48"/>
      <c r="C88" s="48"/>
      <c r="D88" s="48"/>
      <c r="E88" s="48"/>
      <c r="F88" s="48"/>
      <c r="G88" s="48"/>
    </row>
    <row r="89" spans="2:7" x14ac:dyDescent="0.25">
      <c r="B89" s="48"/>
      <c r="C89" s="48"/>
      <c r="D89" s="48"/>
      <c r="E89" s="48"/>
      <c r="F89" s="48"/>
      <c r="G89" s="48"/>
    </row>
    <row r="90" spans="2:7" x14ac:dyDescent="0.25"/>
  </sheetData>
  <mergeCells count="28">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 ref="B14:C14"/>
    <mergeCell ref="D14:E14"/>
    <mergeCell ref="F14:G14"/>
    <mergeCell ref="B19:C35"/>
    <mergeCell ref="D19:E35"/>
    <mergeCell ref="F19:G35"/>
    <mergeCell ref="B12:G12"/>
    <mergeCell ref="B1:G1"/>
    <mergeCell ref="B3:D3"/>
    <mergeCell ref="E3:G3"/>
    <mergeCell ref="B5:G5"/>
    <mergeCell ref="B10:G10"/>
  </mergeCells>
  <pageMargins left="0.25" right="0.25" top="0.75" bottom="0.75" header="0.3" footer="0.3"/>
  <pageSetup paperSize="9" scale="37"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BF5F1-10C0-474F-AAA7-6A19C2284ACF}">
  <sheetPr codeName="Planilha4">
    <pageSetUpPr fitToPage="1"/>
  </sheetPr>
  <dimension ref="A1:J90"/>
  <sheetViews>
    <sheetView showGridLines="0" zoomScale="70" zoomScaleNormal="70" workbookViewId="0">
      <selection activeCell="E3" sqref="E3:G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3" t="s">
        <v>101</v>
      </c>
      <c r="C1" s="43"/>
      <c r="D1" s="43"/>
      <c r="E1" s="43"/>
      <c r="F1" s="43"/>
      <c r="G1" s="43"/>
    </row>
    <row r="2" spans="2:7" x14ac:dyDescent="0.25"/>
    <row r="3" spans="2:7" ht="44.25" customHeight="1" x14ac:dyDescent="0.25">
      <c r="B3" s="49" t="s">
        <v>6</v>
      </c>
      <c r="C3" s="49"/>
      <c r="D3" s="49"/>
      <c r="E3" s="49">
        <f>GETPIVOTDATA("Ernesto Nazareth",'BD ERNE'!$J$21)</f>
        <v>1</v>
      </c>
      <c r="F3" s="49"/>
      <c r="G3" s="49"/>
    </row>
    <row r="4" spans="2:7" ht="15" customHeight="1" x14ac:dyDescent="0.25">
      <c r="B4" s="7"/>
      <c r="C4" s="7"/>
      <c r="D4" s="7"/>
      <c r="E4" s="7"/>
      <c r="F4" s="7"/>
      <c r="G4" s="7"/>
    </row>
    <row r="5" spans="2:7" ht="45.75" x14ac:dyDescent="0.25">
      <c r="B5" s="47" t="s">
        <v>1</v>
      </c>
      <c r="C5" s="47"/>
      <c r="D5" s="47"/>
      <c r="E5" s="47"/>
      <c r="F5" s="47"/>
      <c r="G5" s="47"/>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6" t="s">
        <v>213</v>
      </c>
      <c r="C10" s="46"/>
      <c r="D10" s="46"/>
      <c r="E10" s="46"/>
      <c r="F10" s="46"/>
      <c r="G10" s="46"/>
    </row>
    <row r="11" spans="2:7" ht="15" customHeight="1" x14ac:dyDescent="0.25">
      <c r="B11" s="3"/>
      <c r="C11" s="3"/>
      <c r="D11" s="3"/>
      <c r="E11" s="3"/>
      <c r="F11" s="3"/>
      <c r="G11" s="3"/>
    </row>
    <row r="12" spans="2:7" ht="30.75" x14ac:dyDescent="0.25">
      <c r="B12" s="44" t="s">
        <v>3</v>
      </c>
      <c r="C12" s="44"/>
      <c r="D12" s="44"/>
      <c r="E12" s="44"/>
      <c r="F12" s="44"/>
      <c r="G12" s="44"/>
    </row>
    <row r="13" spans="2:7" x14ac:dyDescent="0.25"/>
    <row r="14" spans="2:7" ht="99" customHeight="1" x14ac:dyDescent="0.25">
      <c r="B14" s="45" t="str">
        <f>"1. "&amp;'BD ERNE'!K3</f>
        <v>1. Você tinha conhecimento de que "Eu Apanhei-te Cavaquinho" é uma das peças mais reconhecidas de Ernesto Nazareth?</v>
      </c>
      <c r="C14" s="45"/>
      <c r="D14" s="45" t="str">
        <f>"2. "&amp;'BD ERNE'!K4</f>
        <v>2. Você tinha conhecimento de que "Eu Apanhei-te Cavaquinho" foi composta por Ernesto Nazareth em 1914, demonstrando sua maestria em incorporar influências europeias à música brasileira?"</v>
      </c>
      <c r="E14" s="45"/>
      <c r="F14" s="45" t="str">
        <f>"3. "&amp;'BD ERNE'!K5</f>
        <v>3. Você tinha conhecimento de que "Eu Apanhei-te Cavaquinho" é um exemplo notável da capacidade de Nazareth em criar melodias cativantes, incorporando elementos de polca e maxixe?</v>
      </c>
      <c r="G14" s="45"/>
    </row>
    <row r="15" spans="2:7" x14ac:dyDescent="0.25"/>
    <row r="16" spans="2:7" ht="23.25" x14ac:dyDescent="0.25">
      <c r="B16" s="4" t="s">
        <v>4</v>
      </c>
      <c r="C16" s="4" t="s">
        <v>5</v>
      </c>
      <c r="D16" s="4" t="s">
        <v>4</v>
      </c>
      <c r="E16" s="4" t="s">
        <v>5</v>
      </c>
      <c r="F16" s="4" t="s">
        <v>4</v>
      </c>
      <c r="G16" s="4" t="s">
        <v>5</v>
      </c>
    </row>
    <row r="17" spans="2:7" ht="23.25" x14ac:dyDescent="0.25">
      <c r="B17" s="5" t="str">
        <f>'BD ERNE'!L3</f>
        <v>Sim!</v>
      </c>
      <c r="C17" s="5">
        <f>COUNTIFS('BD ERNE'!A:A,1,'BD ERNE'!B:B,1)</f>
        <v>5</v>
      </c>
      <c r="D17" s="5" t="str">
        <f>'BD ERNE'!L4</f>
        <v>Sim!</v>
      </c>
      <c r="E17" s="5">
        <f>COUNTIFS('BD ERNE'!A:A,2,'BD ERNE'!B:B,1)</f>
        <v>3</v>
      </c>
      <c r="F17" s="5" t="str">
        <f>'BD ERNE'!L5</f>
        <v>Sim, eu sei.</v>
      </c>
      <c r="G17" s="5">
        <f>COUNTIFS('BD ERNE'!A:A,3,'BD ERNE'!B:B,1)</f>
        <v>2</v>
      </c>
    </row>
    <row r="18" spans="2:7" ht="84" customHeight="1" x14ac:dyDescent="0.25">
      <c r="B18" s="5" t="str">
        <f>'BD ERNE'!M3</f>
        <v>Não.</v>
      </c>
      <c r="C18" s="5">
        <f>COUNTIFS('BD ERNE'!A:A,1,'BD ERNE'!B:B,2)</f>
        <v>3</v>
      </c>
      <c r="D18" s="6" t="str">
        <f>'BD ERNE'!M4</f>
        <v xml:space="preserve">Não, me diga mais. </v>
      </c>
      <c r="E18" s="5">
        <f>COUNTIFS('BD ERNE'!A:A,2,'BD ERNE'!B:B,2)</f>
        <v>5</v>
      </c>
      <c r="F18" s="6" t="str">
        <f>'BD ERNE'!M5</f>
        <v>Não, me conte mais.</v>
      </c>
      <c r="G18" s="5">
        <f>COUNTIFS('BD ERNE'!A:A,3,'BD ERNE'!B:B,2)</f>
        <v>6</v>
      </c>
    </row>
    <row r="19" spans="2:7" x14ac:dyDescent="0.25">
      <c r="B19" s="48"/>
      <c r="C19" s="48"/>
      <c r="D19" s="48"/>
      <c r="E19" s="48"/>
      <c r="F19" s="48"/>
      <c r="G19" s="48"/>
    </row>
    <row r="20" spans="2:7" x14ac:dyDescent="0.25">
      <c r="B20" s="48"/>
      <c r="C20" s="48"/>
      <c r="D20" s="48"/>
      <c r="E20" s="48"/>
      <c r="F20" s="48"/>
      <c r="G20" s="48"/>
    </row>
    <row r="21" spans="2:7" x14ac:dyDescent="0.25">
      <c r="B21" s="48"/>
      <c r="C21" s="48"/>
      <c r="D21" s="48"/>
      <c r="E21" s="48"/>
      <c r="F21" s="48"/>
      <c r="G21" s="48"/>
    </row>
    <row r="22" spans="2:7" x14ac:dyDescent="0.25">
      <c r="B22" s="48"/>
      <c r="C22" s="48"/>
      <c r="D22" s="48"/>
      <c r="E22" s="48"/>
      <c r="F22" s="48"/>
      <c r="G22" s="48"/>
    </row>
    <row r="23" spans="2:7" x14ac:dyDescent="0.25">
      <c r="B23" s="48"/>
      <c r="C23" s="48"/>
      <c r="D23" s="48"/>
      <c r="E23" s="48"/>
      <c r="F23" s="48"/>
      <c r="G23" s="48"/>
    </row>
    <row r="24" spans="2:7" x14ac:dyDescent="0.25">
      <c r="B24" s="48"/>
      <c r="C24" s="48"/>
      <c r="D24" s="48"/>
      <c r="E24" s="48"/>
      <c r="F24" s="48"/>
      <c r="G24" s="48"/>
    </row>
    <row r="25" spans="2:7" x14ac:dyDescent="0.25">
      <c r="B25" s="48"/>
      <c r="C25" s="48"/>
      <c r="D25" s="48"/>
      <c r="E25" s="48"/>
      <c r="F25" s="48"/>
      <c r="G25" s="48"/>
    </row>
    <row r="26" spans="2:7" x14ac:dyDescent="0.25">
      <c r="B26" s="48"/>
      <c r="C26" s="48"/>
      <c r="D26" s="48"/>
      <c r="E26" s="48"/>
      <c r="F26" s="48"/>
      <c r="G26" s="48"/>
    </row>
    <row r="27" spans="2:7" x14ac:dyDescent="0.25">
      <c r="B27" s="48"/>
      <c r="C27" s="48"/>
      <c r="D27" s="48"/>
      <c r="E27" s="48"/>
      <c r="F27" s="48"/>
      <c r="G27" s="48"/>
    </row>
    <row r="28" spans="2:7" x14ac:dyDescent="0.25">
      <c r="B28" s="48"/>
      <c r="C28" s="48"/>
      <c r="D28" s="48"/>
      <c r="E28" s="48"/>
      <c r="F28" s="48"/>
      <c r="G28" s="48"/>
    </row>
    <row r="29" spans="2:7" x14ac:dyDescent="0.25">
      <c r="B29" s="48"/>
      <c r="C29" s="48"/>
      <c r="D29" s="48"/>
      <c r="E29" s="48"/>
      <c r="F29" s="48"/>
      <c r="G29" s="48"/>
    </row>
    <row r="30" spans="2:7" x14ac:dyDescent="0.25">
      <c r="B30" s="48"/>
      <c r="C30" s="48"/>
      <c r="D30" s="48"/>
      <c r="E30" s="48"/>
      <c r="F30" s="48"/>
      <c r="G30" s="48"/>
    </row>
    <row r="31" spans="2:7" x14ac:dyDescent="0.25">
      <c r="B31" s="48"/>
      <c r="C31" s="48"/>
      <c r="D31" s="48"/>
      <c r="E31" s="48"/>
      <c r="F31" s="48"/>
      <c r="G31" s="48"/>
    </row>
    <row r="32" spans="2:7" x14ac:dyDescent="0.25">
      <c r="B32" s="48"/>
      <c r="C32" s="48"/>
      <c r="D32" s="48"/>
      <c r="E32" s="48"/>
      <c r="F32" s="48"/>
      <c r="G32" s="48"/>
    </row>
    <row r="33" spans="2:7" x14ac:dyDescent="0.25">
      <c r="B33" s="48"/>
      <c r="C33" s="48"/>
      <c r="D33" s="48"/>
      <c r="E33" s="48"/>
      <c r="F33" s="48"/>
      <c r="G33" s="48"/>
    </row>
    <row r="34" spans="2:7" x14ac:dyDescent="0.25">
      <c r="B34" s="48"/>
      <c r="C34" s="48"/>
      <c r="D34" s="48"/>
      <c r="E34" s="48"/>
      <c r="F34" s="48"/>
      <c r="G34" s="48"/>
    </row>
    <row r="35" spans="2:7" x14ac:dyDescent="0.25">
      <c r="B35" s="48"/>
      <c r="C35" s="48"/>
      <c r="D35" s="48"/>
      <c r="E35" s="48"/>
      <c r="F35" s="48"/>
      <c r="G35" s="48"/>
    </row>
    <row r="36" spans="2:7" x14ac:dyDescent="0.25"/>
    <row r="37" spans="2:7" ht="33.75" x14ac:dyDescent="0.25">
      <c r="B37" s="46" t="s">
        <v>214</v>
      </c>
      <c r="C37" s="46"/>
      <c r="D37" s="46"/>
      <c r="E37" s="46"/>
      <c r="F37" s="46"/>
      <c r="G37" s="46"/>
    </row>
    <row r="38" spans="2:7" ht="15" customHeight="1" x14ac:dyDescent="0.25">
      <c r="B38" s="3"/>
      <c r="C38" s="3"/>
      <c r="D38" s="3"/>
      <c r="E38" s="3"/>
      <c r="F38" s="3"/>
      <c r="G38" s="3"/>
    </row>
    <row r="39" spans="2:7" ht="30.75" x14ac:dyDescent="0.25">
      <c r="B39" s="44" t="s">
        <v>3</v>
      </c>
      <c r="C39" s="44"/>
      <c r="D39" s="44"/>
      <c r="E39" s="44"/>
      <c r="F39" s="44"/>
      <c r="G39" s="44"/>
    </row>
    <row r="40" spans="2:7" x14ac:dyDescent="0.25"/>
    <row r="41" spans="2:7" ht="117.75" customHeight="1" x14ac:dyDescent="0.25">
      <c r="B41" s="45" t="str">
        <f>"1. "&amp;'BD ERNE'!K9</f>
        <v>1. Você tinha conhecimento de que "Brejeiro" é uma das composições mais icônicas de Ernesto Nazareth?</v>
      </c>
      <c r="C41" s="45"/>
      <c r="D41" s="45" t="str">
        <f>"2. "&amp;'BD ERNE'!K10</f>
        <v>2. Você tinha conhecimento de que "Brejeiro" foi composta por Ernesto Nazareth em 1893, tornando-se uma das primeiras composições de sua carreira?</v>
      </c>
      <c r="E41" s="45"/>
      <c r="F41" s="45" t="str">
        <f>"3. "&amp;'BD ERNE'!K11</f>
        <v>3. Você tinha conhecimento de que "Brejeiro" evoca o espírito descontraído e "brejeiro" da música brasileira da época, caracterizada por seu ritmo contagiante e melodia cativante?</v>
      </c>
      <c r="G41" s="45"/>
    </row>
    <row r="42" spans="2:7" x14ac:dyDescent="0.25"/>
    <row r="43" spans="2:7" ht="23.25" x14ac:dyDescent="0.25">
      <c r="B43" s="4" t="s">
        <v>4</v>
      </c>
      <c r="C43" s="4" t="s">
        <v>5</v>
      </c>
      <c r="D43" s="4" t="s">
        <v>4</v>
      </c>
      <c r="E43" s="4" t="s">
        <v>5</v>
      </c>
      <c r="F43" s="4" t="s">
        <v>4</v>
      </c>
      <c r="G43" s="4" t="s">
        <v>5</v>
      </c>
    </row>
    <row r="44" spans="2:7" ht="23.25" x14ac:dyDescent="0.25">
      <c r="B44" s="5" t="str">
        <f>'BD ERNE'!L9</f>
        <v>Sim!</v>
      </c>
      <c r="C44" s="5">
        <f>COUNTIFS('BD ERNE'!D:D,1,'BD ERNE'!E:E,1)</f>
        <v>4</v>
      </c>
      <c r="D44" s="5" t="str">
        <f>'BD ERNE'!L10</f>
        <v>Sim!</v>
      </c>
      <c r="E44" s="5">
        <f>COUNTIFS('BD ERNE'!D:D,2,'BD ERNE'!E:E,1)</f>
        <v>5</v>
      </c>
      <c r="F44" s="5" t="str">
        <f>'BD ERNE'!L11</f>
        <v>Sim, eu sei.</v>
      </c>
      <c r="G44" s="5">
        <f>COUNTIFS('BD ERNE'!D:D,3,'BD ERNE'!E:E,1)</f>
        <v>4</v>
      </c>
    </row>
    <row r="45" spans="2:7" ht="46.5" x14ac:dyDescent="0.25">
      <c r="B45" s="6" t="str">
        <f>'BD ERNE'!M9</f>
        <v>Não.</v>
      </c>
      <c r="C45" s="5">
        <f>COUNTIFS('BD ERNE'!D:D,1,'BD ERNE'!E:E,2)</f>
        <v>2</v>
      </c>
      <c r="D45" s="6" t="str">
        <f>'BD ERNE'!M10</f>
        <v xml:space="preserve">Não, me diga mais. </v>
      </c>
      <c r="E45" s="5">
        <f>COUNTIFS('BD ERNE'!D:D,2,'BD ERNE'!E:E,2)</f>
        <v>1</v>
      </c>
      <c r="F45" s="6" t="str">
        <f>'BD ERNE'!M11</f>
        <v>Não, me conte mais.</v>
      </c>
      <c r="G45" s="5">
        <f>COUNTIFS('BD ERNE'!D:D,3,'BD ERNE'!E:E,2)</f>
        <v>2</v>
      </c>
    </row>
    <row r="46" spans="2:7" x14ac:dyDescent="0.25">
      <c r="B46" s="48"/>
      <c r="C46" s="48"/>
      <c r="D46" s="48"/>
      <c r="E46" s="48"/>
      <c r="F46" s="48"/>
      <c r="G46" s="48"/>
    </row>
    <row r="47" spans="2:7" x14ac:dyDescent="0.25">
      <c r="B47" s="48"/>
      <c r="C47" s="48"/>
      <c r="D47" s="48"/>
      <c r="E47" s="48"/>
      <c r="F47" s="48"/>
      <c r="G47" s="48"/>
    </row>
    <row r="48" spans="2:7" x14ac:dyDescent="0.25">
      <c r="B48" s="48"/>
      <c r="C48" s="48"/>
      <c r="D48" s="48"/>
      <c r="E48" s="48"/>
      <c r="F48" s="48"/>
      <c r="G48" s="48"/>
    </row>
    <row r="49" spans="2:7" x14ac:dyDescent="0.25">
      <c r="B49" s="48"/>
      <c r="C49" s="48"/>
      <c r="D49" s="48"/>
      <c r="E49" s="48"/>
      <c r="F49" s="48"/>
      <c r="G49" s="48"/>
    </row>
    <row r="50" spans="2:7" x14ac:dyDescent="0.25">
      <c r="B50" s="48"/>
      <c r="C50" s="48"/>
      <c r="D50" s="48"/>
      <c r="E50" s="48"/>
      <c r="F50" s="48"/>
      <c r="G50" s="48"/>
    </row>
    <row r="51" spans="2:7" x14ac:dyDescent="0.25">
      <c r="B51" s="48"/>
      <c r="C51" s="48"/>
      <c r="D51" s="48"/>
      <c r="E51" s="48"/>
      <c r="F51" s="48"/>
      <c r="G51" s="48"/>
    </row>
    <row r="52" spans="2:7" x14ac:dyDescent="0.25">
      <c r="B52" s="48"/>
      <c r="C52" s="48"/>
      <c r="D52" s="48"/>
      <c r="E52" s="48"/>
      <c r="F52" s="48"/>
      <c r="G52" s="48"/>
    </row>
    <row r="53" spans="2:7" x14ac:dyDescent="0.25">
      <c r="B53" s="48"/>
      <c r="C53" s="48"/>
      <c r="D53" s="48"/>
      <c r="E53" s="48"/>
      <c r="F53" s="48"/>
      <c r="G53" s="48"/>
    </row>
    <row r="54" spans="2:7" x14ac:dyDescent="0.25">
      <c r="B54" s="48"/>
      <c r="C54" s="48"/>
      <c r="D54" s="48"/>
      <c r="E54" s="48"/>
      <c r="F54" s="48"/>
      <c r="G54" s="48"/>
    </row>
    <row r="55" spans="2:7" x14ac:dyDescent="0.25">
      <c r="B55" s="48"/>
      <c r="C55" s="48"/>
      <c r="D55" s="48"/>
      <c r="E55" s="48"/>
      <c r="F55" s="48"/>
      <c r="G55" s="48"/>
    </row>
    <row r="56" spans="2:7" x14ac:dyDescent="0.25">
      <c r="B56" s="48"/>
      <c r="C56" s="48"/>
      <c r="D56" s="48"/>
      <c r="E56" s="48"/>
      <c r="F56" s="48"/>
      <c r="G56" s="48"/>
    </row>
    <row r="57" spans="2:7" x14ac:dyDescent="0.25">
      <c r="B57" s="48"/>
      <c r="C57" s="48"/>
      <c r="D57" s="48"/>
      <c r="E57" s="48"/>
      <c r="F57" s="48"/>
      <c r="G57" s="48"/>
    </row>
    <row r="58" spans="2:7" x14ac:dyDescent="0.25">
      <c r="B58" s="48"/>
      <c r="C58" s="48"/>
      <c r="D58" s="48"/>
      <c r="E58" s="48"/>
      <c r="F58" s="48"/>
      <c r="G58" s="48"/>
    </row>
    <row r="59" spans="2:7" x14ac:dyDescent="0.25">
      <c r="B59" s="48"/>
      <c r="C59" s="48"/>
      <c r="D59" s="48"/>
      <c r="E59" s="48"/>
      <c r="F59" s="48"/>
      <c r="G59" s="48"/>
    </row>
    <row r="60" spans="2:7" x14ac:dyDescent="0.25">
      <c r="B60" s="48"/>
      <c r="C60" s="48"/>
      <c r="D60" s="48"/>
      <c r="E60" s="48"/>
      <c r="F60" s="48"/>
      <c r="G60" s="48"/>
    </row>
    <row r="61" spans="2:7" x14ac:dyDescent="0.25">
      <c r="B61" s="48"/>
      <c r="C61" s="48"/>
      <c r="D61" s="48"/>
      <c r="E61" s="48"/>
      <c r="F61" s="48"/>
      <c r="G61" s="48"/>
    </row>
    <row r="62" spans="2:7" x14ac:dyDescent="0.25">
      <c r="B62" s="48"/>
      <c r="C62" s="48"/>
      <c r="D62" s="48"/>
      <c r="E62" s="48"/>
      <c r="F62" s="48"/>
      <c r="G62" s="48"/>
    </row>
    <row r="63" spans="2:7" x14ac:dyDescent="0.25"/>
    <row r="64" spans="2:7" ht="33.75" x14ac:dyDescent="0.25">
      <c r="B64" s="46" t="s">
        <v>106</v>
      </c>
      <c r="C64" s="46"/>
      <c r="D64" s="46"/>
      <c r="E64" s="46"/>
      <c r="F64" s="46"/>
      <c r="G64" s="46"/>
    </row>
    <row r="65" spans="2:7" ht="15" customHeight="1" x14ac:dyDescent="0.25">
      <c r="B65" s="3"/>
      <c r="C65" s="3"/>
      <c r="D65" s="3"/>
      <c r="E65" s="3"/>
      <c r="F65" s="3"/>
      <c r="G65" s="3"/>
    </row>
    <row r="66" spans="2:7" ht="30.75" x14ac:dyDescent="0.25">
      <c r="B66" s="44" t="s">
        <v>3</v>
      </c>
      <c r="C66" s="44"/>
      <c r="D66" s="44"/>
      <c r="E66" s="44"/>
      <c r="F66" s="44"/>
      <c r="G66" s="44"/>
    </row>
    <row r="67" spans="2:7" x14ac:dyDescent="0.25"/>
    <row r="68" spans="2:7" ht="108.75" customHeight="1" x14ac:dyDescent="0.25">
      <c r="B68" s="45" t="str">
        <f>"1. "&amp;'BD ERNE'!K15</f>
        <v>1. Você sabia que "Odeon" é uma das composições mais célebres de Ernesto Nazareth?</v>
      </c>
      <c r="C68" s="45"/>
      <c r="D68" s="45" t="str">
        <f>"2. "&amp;'BD ERNE'!K16</f>
        <v>2. Você sabia que "Odeon" foi composta por Ernesto Nazareth em 1909 e é uma das músicas mais icônicas do sub-gênero do MPB, o choro?</v>
      </c>
      <c r="E68" s="45"/>
      <c r="F68" s="45" t="str">
        <f>"3. "&amp;'BD ERNE'!K17</f>
        <v>3. Você sabia que a peça "Odeon" recebeu esse nome em homenagem a um famoso cinema localizado na região central do Rio de Janeiro?</v>
      </c>
      <c r="G68" s="45"/>
    </row>
    <row r="69" spans="2:7" x14ac:dyDescent="0.25"/>
    <row r="70" spans="2:7" ht="23.25" x14ac:dyDescent="0.25">
      <c r="B70" s="4" t="s">
        <v>4</v>
      </c>
      <c r="C70" s="4" t="s">
        <v>5</v>
      </c>
      <c r="D70" s="4" t="s">
        <v>4</v>
      </c>
      <c r="E70" s="4" t="s">
        <v>5</v>
      </c>
      <c r="F70" s="4" t="s">
        <v>4</v>
      </c>
      <c r="G70" s="4" t="s">
        <v>5</v>
      </c>
    </row>
    <row r="71" spans="2:7" ht="23.25" x14ac:dyDescent="0.25">
      <c r="B71" s="5" t="str">
        <f>'BD ERNE'!L15</f>
        <v>Sim!</v>
      </c>
      <c r="C71" s="5">
        <f>COUNTIFS('BD ERNE'!G:G,1,'BD ERNE'!H:H,1)</f>
        <v>4</v>
      </c>
      <c r="D71" s="5" t="str">
        <f>'BD ERNE'!L16</f>
        <v>Sim!</v>
      </c>
      <c r="E71" s="5">
        <f>COUNTIFS('BD ERNE'!G:G,2,'BD ERNE'!H:H,1)</f>
        <v>3</v>
      </c>
      <c r="F71" s="5" t="str">
        <f>'BD ERNE'!L17</f>
        <v>Sim, eu sei.</v>
      </c>
      <c r="G71" s="5">
        <f>COUNTIFS('BD ERNE'!G:G,3,'BD ERNE'!H:H,1)</f>
        <v>3</v>
      </c>
    </row>
    <row r="72" spans="2:7" ht="58.5" customHeight="1" x14ac:dyDescent="0.25">
      <c r="B72" s="6" t="str">
        <f>'BD ERNE'!M15</f>
        <v>Não.</v>
      </c>
      <c r="C72" s="5">
        <f>COUNTIFS('BD ERNE'!G:G,1,'BD ERNE'!H:H,2)</f>
        <v>0</v>
      </c>
      <c r="D72" s="6" t="str">
        <f>'BD ERNE'!M16</f>
        <v xml:space="preserve">Não, me diga mais. </v>
      </c>
      <c r="E72" s="5">
        <f>COUNTIFS('BD ERNE'!G:G,2,'BD ERNE'!H:H,2)</f>
        <v>1</v>
      </c>
      <c r="F72" s="6" t="str">
        <f>'BD ERNE'!M17</f>
        <v>Não, me conte mais.</v>
      </c>
      <c r="G72" s="5">
        <f>COUNTIFS('BD ERNE'!G:G,3,'BD ERNE'!H:H,2)</f>
        <v>1</v>
      </c>
    </row>
    <row r="73" spans="2:7" x14ac:dyDescent="0.25">
      <c r="B73" s="48"/>
      <c r="C73" s="48"/>
      <c r="D73" s="48"/>
      <c r="E73" s="48"/>
      <c r="F73" s="48"/>
      <c r="G73" s="48"/>
    </row>
    <row r="74" spans="2:7" x14ac:dyDescent="0.25">
      <c r="B74" s="48"/>
      <c r="C74" s="48"/>
      <c r="D74" s="48"/>
      <c r="E74" s="48"/>
      <c r="F74" s="48"/>
      <c r="G74" s="48"/>
    </row>
    <row r="75" spans="2:7" x14ac:dyDescent="0.25">
      <c r="B75" s="48"/>
      <c r="C75" s="48"/>
      <c r="D75" s="48"/>
      <c r="E75" s="48"/>
      <c r="F75" s="48"/>
      <c r="G75" s="48"/>
    </row>
    <row r="76" spans="2:7" x14ac:dyDescent="0.25">
      <c r="B76" s="48"/>
      <c r="C76" s="48"/>
      <c r="D76" s="48"/>
      <c r="E76" s="48"/>
      <c r="F76" s="48"/>
      <c r="G76" s="48"/>
    </row>
    <row r="77" spans="2:7" x14ac:dyDescent="0.25">
      <c r="B77" s="48"/>
      <c r="C77" s="48"/>
      <c r="D77" s="48"/>
      <c r="E77" s="48"/>
      <c r="F77" s="48"/>
      <c r="G77" s="48"/>
    </row>
    <row r="78" spans="2:7" x14ac:dyDescent="0.25">
      <c r="B78" s="48"/>
      <c r="C78" s="48"/>
      <c r="D78" s="48"/>
      <c r="E78" s="48"/>
      <c r="F78" s="48"/>
      <c r="G78" s="48"/>
    </row>
    <row r="79" spans="2:7" x14ac:dyDescent="0.25">
      <c r="B79" s="48"/>
      <c r="C79" s="48"/>
      <c r="D79" s="48"/>
      <c r="E79" s="48"/>
      <c r="F79" s="48"/>
      <c r="G79" s="48"/>
    </row>
    <row r="80" spans="2:7" x14ac:dyDescent="0.25">
      <c r="B80" s="48"/>
      <c r="C80" s="48"/>
      <c r="D80" s="48"/>
      <c r="E80" s="48"/>
      <c r="F80" s="48"/>
      <c r="G80" s="48"/>
    </row>
    <row r="81" spans="2:7" x14ac:dyDescent="0.25">
      <c r="B81" s="48"/>
      <c r="C81" s="48"/>
      <c r="D81" s="48"/>
      <c r="E81" s="48"/>
      <c r="F81" s="48"/>
      <c r="G81" s="48"/>
    </row>
    <row r="82" spans="2:7" x14ac:dyDescent="0.25">
      <c r="B82" s="48"/>
      <c r="C82" s="48"/>
      <c r="D82" s="48"/>
      <c r="E82" s="48"/>
      <c r="F82" s="48"/>
      <c r="G82" s="48"/>
    </row>
    <row r="83" spans="2:7" x14ac:dyDescent="0.25">
      <c r="B83" s="48"/>
      <c r="C83" s="48"/>
      <c r="D83" s="48"/>
      <c r="E83" s="48"/>
      <c r="F83" s="48"/>
      <c r="G83" s="48"/>
    </row>
    <row r="84" spans="2:7" x14ac:dyDescent="0.25">
      <c r="B84" s="48"/>
      <c r="C84" s="48"/>
      <c r="D84" s="48"/>
      <c r="E84" s="48"/>
      <c r="F84" s="48"/>
      <c r="G84" s="48"/>
    </row>
    <row r="85" spans="2:7" x14ac:dyDescent="0.25">
      <c r="B85" s="48"/>
      <c r="C85" s="48"/>
      <c r="D85" s="48"/>
      <c r="E85" s="48"/>
      <c r="F85" s="48"/>
      <c r="G85" s="48"/>
    </row>
    <row r="86" spans="2:7" x14ac:dyDescent="0.25">
      <c r="B86" s="48"/>
      <c r="C86" s="48"/>
      <c r="D86" s="48"/>
      <c r="E86" s="48"/>
      <c r="F86" s="48"/>
      <c r="G86" s="48"/>
    </row>
    <row r="87" spans="2:7" x14ac:dyDescent="0.25">
      <c r="B87" s="48"/>
      <c r="C87" s="48"/>
      <c r="D87" s="48"/>
      <c r="E87" s="48"/>
      <c r="F87" s="48"/>
      <c r="G87" s="48"/>
    </row>
    <row r="88" spans="2:7" x14ac:dyDescent="0.25">
      <c r="B88" s="48"/>
      <c r="C88" s="48"/>
      <c r="D88" s="48"/>
      <c r="E88" s="48"/>
      <c r="F88" s="48"/>
      <c r="G88" s="48"/>
    </row>
    <row r="89" spans="2:7" x14ac:dyDescent="0.25">
      <c r="B89" s="48"/>
      <c r="C89" s="48"/>
      <c r="D89" s="48"/>
      <c r="E89" s="48"/>
      <c r="F89" s="48"/>
      <c r="G89" s="48"/>
    </row>
    <row r="90" spans="2:7" x14ac:dyDescent="0.25"/>
  </sheetData>
  <mergeCells count="28">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 ref="B14:C14"/>
    <mergeCell ref="D14:E14"/>
    <mergeCell ref="F14:G14"/>
    <mergeCell ref="B19:C35"/>
    <mergeCell ref="D19:E35"/>
    <mergeCell ref="F19:G35"/>
    <mergeCell ref="B12:G12"/>
    <mergeCell ref="B1:G1"/>
    <mergeCell ref="B3:D3"/>
    <mergeCell ref="E3:G3"/>
    <mergeCell ref="B5:G5"/>
    <mergeCell ref="B10:G10"/>
  </mergeCells>
  <pageMargins left="0.25" right="0.25" top="0.75" bottom="0.75" header="0.3" footer="0.3"/>
  <pageSetup paperSize="9" scale="37"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94DA-2659-4C91-B2F8-969B96FA9044}">
  <sheetPr codeName="Planilha5">
    <pageSetUpPr fitToPage="1"/>
  </sheetPr>
  <dimension ref="A1:J90"/>
  <sheetViews>
    <sheetView showGridLines="0" zoomScale="70" zoomScaleNormal="70" workbookViewId="0">
      <selection activeCell="E3" sqref="E3:G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3" t="s">
        <v>102</v>
      </c>
      <c r="C1" s="43"/>
      <c r="D1" s="43"/>
      <c r="E1" s="43"/>
      <c r="F1" s="43"/>
      <c r="G1" s="43"/>
    </row>
    <row r="2" spans="2:7" x14ac:dyDescent="0.25"/>
    <row r="3" spans="2:7" ht="44.25" customHeight="1" x14ac:dyDescent="0.25">
      <c r="B3" s="49" t="s">
        <v>6</v>
      </c>
      <c r="C3" s="49"/>
      <c r="D3" s="49"/>
      <c r="E3" s="49">
        <f>GETPIVOTDATA("Heitor Villa-Lobos",'BD HEIT'!$J$21)</f>
        <v>1</v>
      </c>
      <c r="F3" s="49"/>
      <c r="G3" s="49"/>
    </row>
    <row r="4" spans="2:7" ht="15" customHeight="1" x14ac:dyDescent="0.25">
      <c r="B4" s="7"/>
      <c r="C4" s="7"/>
      <c r="D4" s="7"/>
      <c r="E4" s="7"/>
      <c r="F4" s="7"/>
      <c r="G4" s="7"/>
    </row>
    <row r="5" spans="2:7" ht="45.75" x14ac:dyDescent="0.25">
      <c r="B5" s="47" t="s">
        <v>1</v>
      </c>
      <c r="C5" s="47"/>
      <c r="D5" s="47"/>
      <c r="E5" s="47"/>
      <c r="F5" s="47"/>
      <c r="G5" s="47"/>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6" t="s">
        <v>155</v>
      </c>
      <c r="C10" s="46"/>
      <c r="D10" s="46"/>
      <c r="E10" s="46"/>
      <c r="F10" s="46"/>
      <c r="G10" s="46"/>
    </row>
    <row r="11" spans="2:7" ht="15" customHeight="1" x14ac:dyDescent="0.25">
      <c r="B11" s="3"/>
      <c r="C11" s="3"/>
      <c r="D11" s="3"/>
      <c r="E11" s="3"/>
      <c r="F11" s="3"/>
      <c r="G11" s="3"/>
    </row>
    <row r="12" spans="2:7" ht="30.75" x14ac:dyDescent="0.25">
      <c r="B12" s="44" t="s">
        <v>3</v>
      </c>
      <c r="C12" s="44"/>
      <c r="D12" s="44"/>
      <c r="E12" s="44"/>
      <c r="F12" s="44"/>
      <c r="G12" s="44"/>
    </row>
    <row r="13" spans="2:7" x14ac:dyDescent="0.25"/>
    <row r="14" spans="2:7" ht="99" customHeight="1" x14ac:dyDescent="0.25">
      <c r="B14" s="45" t="str">
        <f>"1. "&amp;'BD HEIT'!K3</f>
        <v>1. Você sabia que o "Choro Nº 1" de Heitor Villa-Lobos é uma peça que reflete a influência da música popular brasileira, notadamente o choro, e se destaca por sua fusão única de estilos musicais?</v>
      </c>
      <c r="C14" s="45"/>
      <c r="D14" s="45" t="str">
        <f>"2. "&amp;'BD HEIT'!K4</f>
        <v xml:space="preserve">2. Você sabia que o "Choro Nº 1" é uma das composições mais curtas de Heitor Villa-Lobos, mas é apreciada por sua energia e ritmo animado? </v>
      </c>
      <c r="E14" s="45"/>
      <c r="F14" s="45" t="str">
        <f>"3. "&amp;'BD HEIT'!K5</f>
        <v>3. Você sabia que ""Choro nº 1"" de Heitor Villa-Lobos é uma composição essencial no repertório de violão clássico brasileiro?"</v>
      </c>
      <c r="G14" s="45"/>
    </row>
    <row r="15" spans="2:7" x14ac:dyDescent="0.25"/>
    <row r="16" spans="2:7" ht="23.25" x14ac:dyDescent="0.25">
      <c r="B16" s="4" t="s">
        <v>4</v>
      </c>
      <c r="C16" s="4" t="s">
        <v>5</v>
      </c>
      <c r="D16" s="4" t="s">
        <v>4</v>
      </c>
      <c r="E16" s="4" t="s">
        <v>5</v>
      </c>
      <c r="F16" s="4" t="s">
        <v>4</v>
      </c>
      <c r="G16" s="4" t="s">
        <v>5</v>
      </c>
    </row>
    <row r="17" spans="2:7" ht="23.25" x14ac:dyDescent="0.25">
      <c r="B17" s="5" t="str">
        <f>'BD HEIT'!L3</f>
        <v>Sim!</v>
      </c>
      <c r="C17" s="5">
        <f>COUNTIFS('BD HEIT'!A:A,1,'BD HEIT'!B:B,1)</f>
        <v>1</v>
      </c>
      <c r="D17" s="5" t="str">
        <f>'BD HEIT'!L4</f>
        <v>Sim!</v>
      </c>
      <c r="E17" s="5">
        <f>COUNTIFS('BD HEIT'!A:A,2,'BD HEIT'!B:B,1)</f>
        <v>1</v>
      </c>
      <c r="F17" s="5" t="str">
        <f>'BD HEIT'!L5</f>
        <v>Sim, eu sei.</v>
      </c>
      <c r="G17" s="5">
        <f>COUNTIFS('BD HEIT'!A:A,3,'BD HEIT'!B:B,1)</f>
        <v>1</v>
      </c>
    </row>
    <row r="18" spans="2:7" ht="84" customHeight="1" x14ac:dyDescent="0.25">
      <c r="B18" s="5" t="str">
        <f>'BD HEIT'!M3</f>
        <v>Não.</v>
      </c>
      <c r="C18" s="5">
        <f>COUNTIFS('BD HEIT'!A:A,1,'BD HEIT'!B:B,2)</f>
        <v>0</v>
      </c>
      <c r="D18" s="6" t="str">
        <f>'BD HEIT'!M4</f>
        <v>Não, porém quero saber o por quê.</v>
      </c>
      <c r="E18" s="5">
        <f>COUNTIFS('BD HEIT'!A:A,2,'BD HEIT'!B:B,2)</f>
        <v>0</v>
      </c>
      <c r="F18" s="6" t="str">
        <f>'BD HEIT'!M5</f>
        <v>Não, mas quero saber!</v>
      </c>
      <c r="G18" s="5">
        <f>COUNTIFS('BD HEIT'!A:A,3,'BD HEIT'!B:B,2)</f>
        <v>0</v>
      </c>
    </row>
    <row r="19" spans="2:7" x14ac:dyDescent="0.25">
      <c r="B19" s="48"/>
      <c r="C19" s="48"/>
      <c r="D19" s="48"/>
      <c r="E19" s="48"/>
      <c r="F19" s="48"/>
      <c r="G19" s="48"/>
    </row>
    <row r="20" spans="2:7" x14ac:dyDescent="0.25">
      <c r="B20" s="48"/>
      <c r="C20" s="48"/>
      <c r="D20" s="48"/>
      <c r="E20" s="48"/>
      <c r="F20" s="48"/>
      <c r="G20" s="48"/>
    </row>
    <row r="21" spans="2:7" x14ac:dyDescent="0.25">
      <c r="B21" s="48"/>
      <c r="C21" s="48"/>
      <c r="D21" s="48"/>
      <c r="E21" s="48"/>
      <c r="F21" s="48"/>
      <c r="G21" s="48"/>
    </row>
    <row r="22" spans="2:7" x14ac:dyDescent="0.25">
      <c r="B22" s="48"/>
      <c r="C22" s="48"/>
      <c r="D22" s="48"/>
      <c r="E22" s="48"/>
      <c r="F22" s="48"/>
      <c r="G22" s="48"/>
    </row>
    <row r="23" spans="2:7" x14ac:dyDescent="0.25">
      <c r="B23" s="48"/>
      <c r="C23" s="48"/>
      <c r="D23" s="48"/>
      <c r="E23" s="48"/>
      <c r="F23" s="48"/>
      <c r="G23" s="48"/>
    </row>
    <row r="24" spans="2:7" x14ac:dyDescent="0.25">
      <c r="B24" s="48"/>
      <c r="C24" s="48"/>
      <c r="D24" s="48"/>
      <c r="E24" s="48"/>
      <c r="F24" s="48"/>
      <c r="G24" s="48"/>
    </row>
    <row r="25" spans="2:7" x14ac:dyDescent="0.25">
      <c r="B25" s="48"/>
      <c r="C25" s="48"/>
      <c r="D25" s="48"/>
      <c r="E25" s="48"/>
      <c r="F25" s="48"/>
      <c r="G25" s="48"/>
    </row>
    <row r="26" spans="2:7" x14ac:dyDescent="0.25">
      <c r="B26" s="48"/>
      <c r="C26" s="48"/>
      <c r="D26" s="48"/>
      <c r="E26" s="48"/>
      <c r="F26" s="48"/>
      <c r="G26" s="48"/>
    </row>
    <row r="27" spans="2:7" x14ac:dyDescent="0.25">
      <c r="B27" s="48"/>
      <c r="C27" s="48"/>
      <c r="D27" s="48"/>
      <c r="E27" s="48"/>
      <c r="F27" s="48"/>
      <c r="G27" s="48"/>
    </row>
    <row r="28" spans="2:7" x14ac:dyDescent="0.25">
      <c r="B28" s="48"/>
      <c r="C28" s="48"/>
      <c r="D28" s="48"/>
      <c r="E28" s="48"/>
      <c r="F28" s="48"/>
      <c r="G28" s="48"/>
    </row>
    <row r="29" spans="2:7" x14ac:dyDescent="0.25">
      <c r="B29" s="48"/>
      <c r="C29" s="48"/>
      <c r="D29" s="48"/>
      <c r="E29" s="48"/>
      <c r="F29" s="48"/>
      <c r="G29" s="48"/>
    </row>
    <row r="30" spans="2:7" x14ac:dyDescent="0.25">
      <c r="B30" s="48"/>
      <c r="C30" s="48"/>
      <c r="D30" s="48"/>
      <c r="E30" s="48"/>
      <c r="F30" s="48"/>
      <c r="G30" s="48"/>
    </row>
    <row r="31" spans="2:7" x14ac:dyDescent="0.25">
      <c r="B31" s="48"/>
      <c r="C31" s="48"/>
      <c r="D31" s="48"/>
      <c r="E31" s="48"/>
      <c r="F31" s="48"/>
      <c r="G31" s="48"/>
    </row>
    <row r="32" spans="2:7" x14ac:dyDescent="0.25">
      <c r="B32" s="48"/>
      <c r="C32" s="48"/>
      <c r="D32" s="48"/>
      <c r="E32" s="48"/>
      <c r="F32" s="48"/>
      <c r="G32" s="48"/>
    </row>
    <row r="33" spans="2:7" x14ac:dyDescent="0.25">
      <c r="B33" s="48"/>
      <c r="C33" s="48"/>
      <c r="D33" s="48"/>
      <c r="E33" s="48"/>
      <c r="F33" s="48"/>
      <c r="G33" s="48"/>
    </row>
    <row r="34" spans="2:7" x14ac:dyDescent="0.25">
      <c r="B34" s="48"/>
      <c r="C34" s="48"/>
      <c r="D34" s="48"/>
      <c r="E34" s="48"/>
      <c r="F34" s="48"/>
      <c r="G34" s="48"/>
    </row>
    <row r="35" spans="2:7" x14ac:dyDescent="0.25">
      <c r="B35" s="48"/>
      <c r="C35" s="48"/>
      <c r="D35" s="48"/>
      <c r="E35" s="48"/>
      <c r="F35" s="48"/>
      <c r="G35" s="48"/>
    </row>
    <row r="36" spans="2:7" x14ac:dyDescent="0.25"/>
    <row r="37" spans="2:7" ht="33.75" x14ac:dyDescent="0.25">
      <c r="B37" s="46" t="s">
        <v>166</v>
      </c>
      <c r="C37" s="46"/>
      <c r="D37" s="46"/>
      <c r="E37" s="46"/>
      <c r="F37" s="46"/>
      <c r="G37" s="46"/>
    </row>
    <row r="38" spans="2:7" ht="15" customHeight="1" x14ac:dyDescent="0.25">
      <c r="B38" s="3"/>
      <c r="C38" s="3"/>
      <c r="D38" s="3"/>
      <c r="E38" s="3"/>
      <c r="F38" s="3"/>
      <c r="G38" s="3"/>
    </row>
    <row r="39" spans="2:7" ht="30.75" x14ac:dyDescent="0.25">
      <c r="B39" s="44" t="s">
        <v>3</v>
      </c>
      <c r="C39" s="44"/>
      <c r="D39" s="44"/>
      <c r="E39" s="44"/>
      <c r="F39" s="44"/>
      <c r="G39" s="44"/>
    </row>
    <row r="40" spans="2:7" x14ac:dyDescent="0.25"/>
    <row r="41" spans="2:7" ht="117.75" customHeight="1" x14ac:dyDescent="0.25">
      <c r="B41" s="45" t="str">
        <f>"1. "&amp;'BD HEIT'!K9</f>
        <v>1. Você sabia que "Estudo No. 1" de Villa-Lobos é conhecido por suas características técnicas desafiadoras?</v>
      </c>
      <c r="C41" s="45"/>
      <c r="D41" s="45" t="str">
        <f>"2. "&amp;'BD HEIT'!K10</f>
        <v>2. Você sabia que "Estudo No. 1" de Villa-Lobos é uma das composições que ajudaram a definir a identidade do violão clássico brasileiro?</v>
      </c>
      <c r="E41" s="45"/>
      <c r="F41" s="45" t="str">
        <f>"3. "&amp;'BD HEIT'!K11</f>
        <v>3. Você sabia que "Estudo No. 1" é parte de uma série de composições importantes de Villa-Lobos?</v>
      </c>
      <c r="G41" s="45"/>
    </row>
    <row r="42" spans="2:7" x14ac:dyDescent="0.25"/>
    <row r="43" spans="2:7" ht="23.25" x14ac:dyDescent="0.25">
      <c r="B43" s="4" t="s">
        <v>4</v>
      </c>
      <c r="C43" s="4" t="s">
        <v>5</v>
      </c>
      <c r="D43" s="4" t="s">
        <v>4</v>
      </c>
      <c r="E43" s="4" t="s">
        <v>5</v>
      </c>
      <c r="F43" s="4" t="s">
        <v>4</v>
      </c>
      <c r="G43" s="4" t="s">
        <v>5</v>
      </c>
    </row>
    <row r="44" spans="2:7" ht="23.25" x14ac:dyDescent="0.25">
      <c r="B44" s="5" t="str">
        <f>'BD HEIT'!L9</f>
        <v>Sim!</v>
      </c>
      <c r="C44" s="5">
        <f>COUNTIFS('BD HEIT'!D:D,1,'BD HEIT'!E:E,1)</f>
        <v>0</v>
      </c>
      <c r="D44" s="5" t="str">
        <f>'BD HEIT'!L10</f>
        <v>Sim!</v>
      </c>
      <c r="E44" s="5">
        <f>COUNTIFS('BD HEIT'!D:D,2,'BD HEIT'!E:E,1)</f>
        <v>0</v>
      </c>
      <c r="F44" s="5" t="str">
        <f>'BD HEIT'!L11</f>
        <v>Sim, eu sei.</v>
      </c>
      <c r="G44" s="5">
        <f>COUNTIFS('BD HEIT'!D:D,3,'BD HEIT'!E:E,1)</f>
        <v>0</v>
      </c>
    </row>
    <row r="45" spans="2:7" ht="46.5" x14ac:dyDescent="0.25">
      <c r="B45" s="6" t="str">
        <f>'BD HEIT'!M9</f>
        <v>Não.</v>
      </c>
      <c r="C45" s="5">
        <f>COUNTIFS('BD HEIT'!D:D,1,'BD HEIT'!E:E,2)</f>
        <v>1</v>
      </c>
      <c r="D45" s="6" t="str">
        <f>'BD HEIT'!M10</f>
        <v>Não, porém fiquei curioso.</v>
      </c>
      <c r="E45" s="5">
        <f>COUNTIFS('BD HEIT'!D:D,2,'BD HEIT'!E:E,2)</f>
        <v>1</v>
      </c>
      <c r="F45" s="6" t="str">
        <f>'BD HEIT'!M11</f>
        <v>Não, mas quero saber!</v>
      </c>
      <c r="G45" s="5">
        <f>COUNTIFS('BD HEIT'!D:D,3,'BD HEIT'!E:E,2)</f>
        <v>1</v>
      </c>
    </row>
    <row r="46" spans="2:7" x14ac:dyDescent="0.25">
      <c r="B46" s="48"/>
      <c r="C46" s="48"/>
      <c r="D46" s="48"/>
      <c r="E46" s="48"/>
      <c r="F46" s="48"/>
      <c r="G46" s="48"/>
    </row>
    <row r="47" spans="2:7" x14ac:dyDescent="0.25">
      <c r="B47" s="48"/>
      <c r="C47" s="48"/>
      <c r="D47" s="48"/>
      <c r="E47" s="48"/>
      <c r="F47" s="48"/>
      <c r="G47" s="48"/>
    </row>
    <row r="48" spans="2:7" x14ac:dyDescent="0.25">
      <c r="B48" s="48"/>
      <c r="C48" s="48"/>
      <c r="D48" s="48"/>
      <c r="E48" s="48"/>
      <c r="F48" s="48"/>
      <c r="G48" s="48"/>
    </row>
    <row r="49" spans="2:7" x14ac:dyDescent="0.25">
      <c r="B49" s="48"/>
      <c r="C49" s="48"/>
      <c r="D49" s="48"/>
      <c r="E49" s="48"/>
      <c r="F49" s="48"/>
      <c r="G49" s="48"/>
    </row>
    <row r="50" spans="2:7" x14ac:dyDescent="0.25">
      <c r="B50" s="48"/>
      <c r="C50" s="48"/>
      <c r="D50" s="48"/>
      <c r="E50" s="48"/>
      <c r="F50" s="48"/>
      <c r="G50" s="48"/>
    </row>
    <row r="51" spans="2:7" x14ac:dyDescent="0.25">
      <c r="B51" s="48"/>
      <c r="C51" s="48"/>
      <c r="D51" s="48"/>
      <c r="E51" s="48"/>
      <c r="F51" s="48"/>
      <c r="G51" s="48"/>
    </row>
    <row r="52" spans="2:7" x14ac:dyDescent="0.25">
      <c r="B52" s="48"/>
      <c r="C52" s="48"/>
      <c r="D52" s="48"/>
      <c r="E52" s="48"/>
      <c r="F52" s="48"/>
      <c r="G52" s="48"/>
    </row>
    <row r="53" spans="2:7" x14ac:dyDescent="0.25">
      <c r="B53" s="48"/>
      <c r="C53" s="48"/>
      <c r="D53" s="48"/>
      <c r="E53" s="48"/>
      <c r="F53" s="48"/>
      <c r="G53" s="48"/>
    </row>
    <row r="54" spans="2:7" x14ac:dyDescent="0.25">
      <c r="B54" s="48"/>
      <c r="C54" s="48"/>
      <c r="D54" s="48"/>
      <c r="E54" s="48"/>
      <c r="F54" s="48"/>
      <c r="G54" s="48"/>
    </row>
    <row r="55" spans="2:7" x14ac:dyDescent="0.25">
      <c r="B55" s="48"/>
      <c r="C55" s="48"/>
      <c r="D55" s="48"/>
      <c r="E55" s="48"/>
      <c r="F55" s="48"/>
      <c r="G55" s="48"/>
    </row>
    <row r="56" spans="2:7" x14ac:dyDescent="0.25">
      <c r="B56" s="48"/>
      <c r="C56" s="48"/>
      <c r="D56" s="48"/>
      <c r="E56" s="48"/>
      <c r="F56" s="48"/>
      <c r="G56" s="48"/>
    </row>
    <row r="57" spans="2:7" x14ac:dyDescent="0.25">
      <c r="B57" s="48"/>
      <c r="C57" s="48"/>
      <c r="D57" s="48"/>
      <c r="E57" s="48"/>
      <c r="F57" s="48"/>
      <c r="G57" s="48"/>
    </row>
    <row r="58" spans="2:7" x14ac:dyDescent="0.25">
      <c r="B58" s="48"/>
      <c r="C58" s="48"/>
      <c r="D58" s="48"/>
      <c r="E58" s="48"/>
      <c r="F58" s="48"/>
      <c r="G58" s="48"/>
    </row>
    <row r="59" spans="2:7" x14ac:dyDescent="0.25">
      <c r="B59" s="48"/>
      <c r="C59" s="48"/>
      <c r="D59" s="48"/>
      <c r="E59" s="48"/>
      <c r="F59" s="48"/>
      <c r="G59" s="48"/>
    </row>
    <row r="60" spans="2:7" x14ac:dyDescent="0.25">
      <c r="B60" s="48"/>
      <c r="C60" s="48"/>
      <c r="D60" s="48"/>
      <c r="E60" s="48"/>
      <c r="F60" s="48"/>
      <c r="G60" s="48"/>
    </row>
    <row r="61" spans="2:7" x14ac:dyDescent="0.25">
      <c r="B61" s="48"/>
      <c r="C61" s="48"/>
      <c r="D61" s="48"/>
      <c r="E61" s="48"/>
      <c r="F61" s="48"/>
      <c r="G61" s="48"/>
    </row>
    <row r="62" spans="2:7" x14ac:dyDescent="0.25">
      <c r="B62" s="48"/>
      <c r="C62" s="48"/>
      <c r="D62" s="48"/>
      <c r="E62" s="48"/>
      <c r="F62" s="48"/>
      <c r="G62" s="48"/>
    </row>
    <row r="63" spans="2:7" x14ac:dyDescent="0.25"/>
    <row r="64" spans="2:7" ht="33.75" x14ac:dyDescent="0.25">
      <c r="B64" s="46" t="s">
        <v>177</v>
      </c>
      <c r="C64" s="46"/>
      <c r="D64" s="46"/>
      <c r="E64" s="46"/>
      <c r="F64" s="46"/>
      <c r="G64" s="46"/>
    </row>
    <row r="65" spans="2:7" ht="15" customHeight="1" x14ac:dyDescent="0.25">
      <c r="B65" s="3"/>
      <c r="C65" s="3"/>
      <c r="D65" s="3"/>
      <c r="E65" s="3"/>
      <c r="F65" s="3"/>
      <c r="G65" s="3"/>
    </row>
    <row r="66" spans="2:7" ht="30.75" x14ac:dyDescent="0.25">
      <c r="B66" s="44" t="s">
        <v>3</v>
      </c>
      <c r="C66" s="44"/>
      <c r="D66" s="44"/>
      <c r="E66" s="44"/>
      <c r="F66" s="44"/>
      <c r="G66" s="44"/>
    </row>
    <row r="67" spans="2:7" x14ac:dyDescent="0.25"/>
    <row r="68" spans="2:7" ht="108.75" customHeight="1" x14ac:dyDescent="0.25">
      <c r="B68" s="45" t="str">
        <f>"1. "&amp;'BD HEIT'!K15</f>
        <v>1. Você sabia que "Prelúdio No. 1" é uma das composições mais reconhecidas de Heitor Villa-Lobos?</v>
      </c>
      <c r="C68" s="45"/>
      <c r="D68" s="45" t="str">
        <f>"2. "&amp;'BD HEIT'!K16</f>
        <v>2. Você sabia que "Prelúdio No. 1" incorpora elementos do folclore brasileiro em sua composição?</v>
      </c>
      <c r="E68" s="45"/>
      <c r="F68" s="45" t="str">
        <f>"3. "&amp;'BD HEIT'!K17</f>
        <v>3. Você sabia que "Prelúdio No. 1" é uma peça que exemplifica a influência do Impressionismo na música de Villa-Lobos?</v>
      </c>
      <c r="G68" s="45"/>
    </row>
    <row r="69" spans="2:7" x14ac:dyDescent="0.25"/>
    <row r="70" spans="2:7" ht="23.25" x14ac:dyDescent="0.25">
      <c r="B70" s="4" t="s">
        <v>4</v>
      </c>
      <c r="C70" s="4" t="s">
        <v>5</v>
      </c>
      <c r="D70" s="4" t="s">
        <v>4</v>
      </c>
      <c r="E70" s="4" t="s">
        <v>5</v>
      </c>
      <c r="F70" s="4" t="s">
        <v>4</v>
      </c>
      <c r="G70" s="4" t="s">
        <v>5</v>
      </c>
    </row>
    <row r="71" spans="2:7" ht="23.25" x14ac:dyDescent="0.25">
      <c r="B71" s="5" t="str">
        <f>'BD HEIT'!L15</f>
        <v>Sim!</v>
      </c>
      <c r="C71" s="5">
        <f>COUNTIFS('BD HEIT'!G:G,1,'BD HEIT'!H:H,1)</f>
        <v>1</v>
      </c>
      <c r="D71" s="5" t="str">
        <f>'BD HEIT'!L16</f>
        <v>Sim!</v>
      </c>
      <c r="E71" s="5">
        <f>COUNTIFS('BD HEIT'!G:G,2,'BD HEIT'!H:H,1)</f>
        <v>1</v>
      </c>
      <c r="F71" s="5" t="str">
        <f>'BD HEIT'!L17</f>
        <v>Sim, eu sei.</v>
      </c>
      <c r="G71" s="5">
        <f>COUNTIFS('BD HEIT'!G:G,3,'BD HEIT'!H:H,1)</f>
        <v>1</v>
      </c>
    </row>
    <row r="72" spans="2:7" ht="58.5" customHeight="1" x14ac:dyDescent="0.25">
      <c r="B72" s="6" t="str">
        <f>'BD HEIT'!M15</f>
        <v>Não.</v>
      </c>
      <c r="C72" s="5">
        <f>COUNTIFS('BD HEIT'!G:G,1,'BD HEIT'!H:H,2)</f>
        <v>0</v>
      </c>
      <c r="D72" s="6" t="str">
        <f>'BD HEIT'!M16</f>
        <v>Não, porém fiquei curioso.</v>
      </c>
      <c r="E72" s="5">
        <f>COUNTIFS('BD HEIT'!G:G,2,'BD HEIT'!H:H,2)</f>
        <v>0</v>
      </c>
      <c r="F72" s="6" t="str">
        <f>'BD HEIT'!M17</f>
        <v>Não, mas quero saber!</v>
      </c>
      <c r="G72" s="5">
        <f>COUNTIFS('BD HEIT'!G:G,3,'BD HEIT'!H:H,2)</f>
        <v>0</v>
      </c>
    </row>
    <row r="73" spans="2:7" x14ac:dyDescent="0.25">
      <c r="B73" s="48"/>
      <c r="C73" s="48"/>
      <c r="D73" s="48"/>
      <c r="E73" s="48"/>
      <c r="F73" s="48"/>
      <c r="G73" s="48"/>
    </row>
    <row r="74" spans="2:7" x14ac:dyDescent="0.25">
      <c r="B74" s="48"/>
      <c r="C74" s="48"/>
      <c r="D74" s="48"/>
      <c r="E74" s="48"/>
      <c r="F74" s="48"/>
      <c r="G74" s="48"/>
    </row>
    <row r="75" spans="2:7" x14ac:dyDescent="0.25">
      <c r="B75" s="48"/>
      <c r="C75" s="48"/>
      <c r="D75" s="48"/>
      <c r="E75" s="48"/>
      <c r="F75" s="48"/>
      <c r="G75" s="48"/>
    </row>
    <row r="76" spans="2:7" x14ac:dyDescent="0.25">
      <c r="B76" s="48"/>
      <c r="C76" s="48"/>
      <c r="D76" s="48"/>
      <c r="E76" s="48"/>
      <c r="F76" s="48"/>
      <c r="G76" s="48"/>
    </row>
    <row r="77" spans="2:7" x14ac:dyDescent="0.25">
      <c r="B77" s="48"/>
      <c r="C77" s="48"/>
      <c r="D77" s="48"/>
      <c r="E77" s="48"/>
      <c r="F77" s="48"/>
      <c r="G77" s="48"/>
    </row>
    <row r="78" spans="2:7" x14ac:dyDescent="0.25">
      <c r="B78" s="48"/>
      <c r="C78" s="48"/>
      <c r="D78" s="48"/>
      <c r="E78" s="48"/>
      <c r="F78" s="48"/>
      <c r="G78" s="48"/>
    </row>
    <row r="79" spans="2:7" x14ac:dyDescent="0.25">
      <c r="B79" s="48"/>
      <c r="C79" s="48"/>
      <c r="D79" s="48"/>
      <c r="E79" s="48"/>
      <c r="F79" s="48"/>
      <c r="G79" s="48"/>
    </row>
    <row r="80" spans="2:7" x14ac:dyDescent="0.25">
      <c r="B80" s="48"/>
      <c r="C80" s="48"/>
      <c r="D80" s="48"/>
      <c r="E80" s="48"/>
      <c r="F80" s="48"/>
      <c r="G80" s="48"/>
    </row>
    <row r="81" spans="2:7" x14ac:dyDescent="0.25">
      <c r="B81" s="48"/>
      <c r="C81" s="48"/>
      <c r="D81" s="48"/>
      <c r="E81" s="48"/>
      <c r="F81" s="48"/>
      <c r="G81" s="48"/>
    </row>
    <row r="82" spans="2:7" x14ac:dyDescent="0.25">
      <c r="B82" s="48"/>
      <c r="C82" s="48"/>
      <c r="D82" s="48"/>
      <c r="E82" s="48"/>
      <c r="F82" s="48"/>
      <c r="G82" s="48"/>
    </row>
    <row r="83" spans="2:7" x14ac:dyDescent="0.25">
      <c r="B83" s="48"/>
      <c r="C83" s="48"/>
      <c r="D83" s="48"/>
      <c r="E83" s="48"/>
      <c r="F83" s="48"/>
      <c r="G83" s="48"/>
    </row>
    <row r="84" spans="2:7" x14ac:dyDescent="0.25">
      <c r="B84" s="48"/>
      <c r="C84" s="48"/>
      <c r="D84" s="48"/>
      <c r="E84" s="48"/>
      <c r="F84" s="48"/>
      <c r="G84" s="48"/>
    </row>
    <row r="85" spans="2:7" x14ac:dyDescent="0.25">
      <c r="B85" s="48"/>
      <c r="C85" s="48"/>
      <c r="D85" s="48"/>
      <c r="E85" s="48"/>
      <c r="F85" s="48"/>
      <c r="G85" s="48"/>
    </row>
    <row r="86" spans="2:7" x14ac:dyDescent="0.25">
      <c r="B86" s="48"/>
      <c r="C86" s="48"/>
      <c r="D86" s="48"/>
      <c r="E86" s="48"/>
      <c r="F86" s="48"/>
      <c r="G86" s="48"/>
    </row>
    <row r="87" spans="2:7" x14ac:dyDescent="0.25">
      <c r="B87" s="48"/>
      <c r="C87" s="48"/>
      <c r="D87" s="48"/>
      <c r="E87" s="48"/>
      <c r="F87" s="48"/>
      <c r="G87" s="48"/>
    </row>
    <row r="88" spans="2:7" x14ac:dyDescent="0.25">
      <c r="B88" s="48"/>
      <c r="C88" s="48"/>
      <c r="D88" s="48"/>
      <c r="E88" s="48"/>
      <c r="F88" s="48"/>
      <c r="G88" s="48"/>
    </row>
    <row r="89" spans="2:7" x14ac:dyDescent="0.25">
      <c r="B89" s="48"/>
      <c r="C89" s="48"/>
      <c r="D89" s="48"/>
      <c r="E89" s="48"/>
      <c r="F89" s="48"/>
      <c r="G89" s="48"/>
    </row>
    <row r="90" spans="2:7" x14ac:dyDescent="0.25"/>
  </sheetData>
  <mergeCells count="28">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 ref="B14:C14"/>
    <mergeCell ref="D14:E14"/>
    <mergeCell ref="F14:G14"/>
    <mergeCell ref="B19:C35"/>
    <mergeCell ref="D19:E35"/>
    <mergeCell ref="F19:G35"/>
    <mergeCell ref="B12:G12"/>
    <mergeCell ref="B1:G1"/>
    <mergeCell ref="B3:D3"/>
    <mergeCell ref="E3:G3"/>
    <mergeCell ref="B5:G5"/>
    <mergeCell ref="B10:G10"/>
  </mergeCells>
  <pageMargins left="0.25" right="0.25" top="0.75" bottom="0.75" header="0.3" footer="0.3"/>
  <pageSetup paperSize="9" scale="37"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3082-64ED-4F61-B2C6-12E73C1A7EC0}">
  <sheetPr codeName="Planilha6">
    <pageSetUpPr fitToPage="1"/>
  </sheetPr>
  <dimension ref="A1:J90"/>
  <sheetViews>
    <sheetView showGridLines="0" zoomScale="70" zoomScaleNormal="70" workbookViewId="0">
      <selection activeCell="B3" sqref="B3:D3"/>
    </sheetView>
  </sheetViews>
  <sheetFormatPr defaultColWidth="0" defaultRowHeight="15" customHeight="1" zeroHeight="1" x14ac:dyDescent="0.25"/>
  <cols>
    <col min="1" max="1" width="1.7109375" style="1" customWidth="1"/>
    <col min="2" max="7" width="30.7109375" style="1" customWidth="1"/>
    <col min="8" max="8" width="1.7109375" style="1" customWidth="1"/>
    <col min="9" max="10" width="20.7109375" style="1" hidden="1" customWidth="1"/>
    <col min="11" max="16384" width="9.140625" style="1" hidden="1"/>
  </cols>
  <sheetData>
    <row r="1" spans="2:7" ht="60.75" x14ac:dyDescent="0.25">
      <c r="B1" s="43" t="s">
        <v>103</v>
      </c>
      <c r="C1" s="43"/>
      <c r="D1" s="43"/>
      <c r="E1" s="43"/>
      <c r="F1" s="43"/>
      <c r="G1" s="43"/>
    </row>
    <row r="2" spans="2:7" x14ac:dyDescent="0.25"/>
    <row r="3" spans="2:7" ht="44.25" customHeight="1" x14ac:dyDescent="0.25">
      <c r="B3" s="49" t="s">
        <v>6</v>
      </c>
      <c r="C3" s="49"/>
      <c r="D3" s="49"/>
      <c r="E3" s="49">
        <f>GETPIVOTDATA("Tom Jobim",'BD TOM'!$J$21)</f>
        <v>4</v>
      </c>
      <c r="F3" s="49"/>
      <c r="G3" s="49"/>
    </row>
    <row r="4" spans="2:7" ht="15" customHeight="1" x14ac:dyDescent="0.25">
      <c r="B4" s="7"/>
      <c r="C4" s="7"/>
      <c r="D4" s="7"/>
      <c r="E4" s="7"/>
      <c r="F4" s="7"/>
      <c r="G4" s="7"/>
    </row>
    <row r="5" spans="2:7" ht="45.75" x14ac:dyDescent="0.25">
      <c r="B5" s="47" t="s">
        <v>1</v>
      </c>
      <c r="C5" s="47"/>
      <c r="D5" s="47"/>
      <c r="E5" s="47"/>
      <c r="F5" s="47"/>
      <c r="G5" s="47"/>
    </row>
    <row r="6" spans="2:7" ht="45.75" x14ac:dyDescent="0.25">
      <c r="B6" s="2"/>
      <c r="C6" s="2"/>
      <c r="D6" s="2"/>
      <c r="E6" s="2"/>
      <c r="F6" s="2"/>
      <c r="G6" s="2"/>
    </row>
    <row r="7" spans="2:7" ht="45.75" x14ac:dyDescent="0.25">
      <c r="B7" s="2"/>
      <c r="C7" s="2"/>
      <c r="D7" s="2"/>
      <c r="E7" s="2"/>
      <c r="F7" s="2"/>
      <c r="G7" s="2"/>
    </row>
    <row r="8" spans="2:7" ht="45.75" x14ac:dyDescent="0.25">
      <c r="B8" s="2"/>
      <c r="C8" s="2"/>
      <c r="D8" s="2"/>
      <c r="E8" s="2"/>
      <c r="F8" s="2"/>
      <c r="G8" s="2"/>
    </row>
    <row r="9" spans="2:7" ht="45.75" x14ac:dyDescent="0.25">
      <c r="B9" s="2"/>
      <c r="C9" s="2"/>
      <c r="D9" s="2"/>
      <c r="E9" s="2"/>
      <c r="F9" s="2"/>
      <c r="G9" s="2"/>
    </row>
    <row r="10" spans="2:7" ht="33.75" x14ac:dyDescent="0.25">
      <c r="B10" s="46" t="s">
        <v>215</v>
      </c>
      <c r="C10" s="46"/>
      <c r="D10" s="46"/>
      <c r="E10" s="46"/>
      <c r="F10" s="46"/>
      <c r="G10" s="46"/>
    </row>
    <row r="11" spans="2:7" ht="15" customHeight="1" x14ac:dyDescent="0.25">
      <c r="B11" s="3"/>
      <c r="C11" s="3"/>
      <c r="D11" s="3"/>
      <c r="E11" s="3"/>
      <c r="F11" s="3"/>
      <c r="G11" s="3"/>
    </row>
    <row r="12" spans="2:7" ht="30.75" x14ac:dyDescent="0.25">
      <c r="B12" s="44" t="s">
        <v>3</v>
      </c>
      <c r="C12" s="44"/>
      <c r="D12" s="44"/>
      <c r="E12" s="44"/>
      <c r="F12" s="44"/>
      <c r="G12" s="44"/>
    </row>
    <row r="13" spans="2:7" x14ac:dyDescent="0.25"/>
    <row r="14" spans="2:7" ht="99" customHeight="1" x14ac:dyDescent="0.25">
      <c r="B14" s="45" t="str">
        <f>"1. "&amp;'BD TOM'!K3</f>
        <v>1.  Você sabia que "Eu Sei Que Vou Te Amar" é uma das canções mais icônicas do MPB?</v>
      </c>
      <c r="C14" s="45"/>
      <c r="D14" s="45" t="str">
        <f>"2. "&amp;'BD TOM'!K4</f>
        <v>2. Você sabia que "Eu Sei Que Vou Te Amar" é uma das colaborações mais famosas entre Tom Jobim e Vinícius de Moraes?</v>
      </c>
      <c r="E14" s="45"/>
      <c r="F14" s="45" t="str">
        <f>"3. "&amp;'BD TOM'!K5</f>
        <v>3. Você sabia que "Eu Sei Que Vou Te Amar" tem sido amplamente interpretada por diversos artistas ao redor do mundo?</v>
      </c>
      <c r="G14" s="45"/>
    </row>
    <row r="15" spans="2:7" x14ac:dyDescent="0.25"/>
    <row r="16" spans="2:7" ht="23.25" x14ac:dyDescent="0.25">
      <c r="B16" s="4" t="s">
        <v>4</v>
      </c>
      <c r="C16" s="4" t="s">
        <v>5</v>
      </c>
      <c r="D16" s="4" t="s">
        <v>4</v>
      </c>
      <c r="E16" s="4" t="s">
        <v>5</v>
      </c>
      <c r="F16" s="4" t="s">
        <v>4</v>
      </c>
      <c r="G16" s="4" t="s">
        <v>5</v>
      </c>
    </row>
    <row r="17" spans="2:7" ht="23.25" x14ac:dyDescent="0.25">
      <c r="B17" s="5" t="str">
        <f>'BD TOM'!L3</f>
        <v>Sim!</v>
      </c>
      <c r="C17" s="5">
        <f>COUNTIFS('BD TOM'!A:A,1,'BD TOM'!B:B,1)</f>
        <v>2</v>
      </c>
      <c r="D17" s="5" t="str">
        <f>'BD TOM'!L4</f>
        <v>Sim!</v>
      </c>
      <c r="E17" s="5">
        <f>COUNTIFS('BD TOM'!A:A,2,'BD TOM'!B:B,1)</f>
        <v>2</v>
      </c>
      <c r="F17" s="5" t="str">
        <f>'BD TOM'!L5</f>
        <v>Sim, eu sei.</v>
      </c>
      <c r="G17" s="5">
        <f>COUNTIFS('BD TOM'!A:A,3,'BD TOM'!B:B,1)</f>
        <v>1</v>
      </c>
    </row>
    <row r="18" spans="2:7" ht="84" customHeight="1" x14ac:dyDescent="0.25">
      <c r="B18" s="5" t="str">
        <f>'BD TOM'!M3</f>
        <v>Não.</v>
      </c>
      <c r="C18" s="5">
        <f>COUNTIFS('BD TOM'!A:A,1,'BD TOM'!B:B,2)</f>
        <v>2</v>
      </c>
      <c r="D18" s="6" t="str">
        <f>'BD TOM'!M4</f>
        <v xml:space="preserve">Não, me diga mais. </v>
      </c>
      <c r="E18" s="5">
        <f>COUNTIFS('BD TOM'!A:A,2,'BD TOM'!B:B,2)</f>
        <v>2</v>
      </c>
      <c r="F18" s="6" t="str">
        <f>'BD TOM'!M5</f>
        <v>Não, me conte mais.</v>
      </c>
      <c r="G18" s="5">
        <f>COUNTIFS('BD TOM'!A:A,3,'BD TOM'!B:B,2)</f>
        <v>3</v>
      </c>
    </row>
    <row r="19" spans="2:7" x14ac:dyDescent="0.25">
      <c r="B19" s="48"/>
      <c r="C19" s="48"/>
      <c r="D19" s="48"/>
      <c r="E19" s="48"/>
      <c r="F19" s="48"/>
      <c r="G19" s="48"/>
    </row>
    <row r="20" spans="2:7" x14ac:dyDescent="0.25">
      <c r="B20" s="48"/>
      <c r="C20" s="48"/>
      <c r="D20" s="48"/>
      <c r="E20" s="48"/>
      <c r="F20" s="48"/>
      <c r="G20" s="48"/>
    </row>
    <row r="21" spans="2:7" x14ac:dyDescent="0.25">
      <c r="B21" s="48"/>
      <c r="C21" s="48"/>
      <c r="D21" s="48"/>
      <c r="E21" s="48"/>
      <c r="F21" s="48"/>
      <c r="G21" s="48"/>
    </row>
    <row r="22" spans="2:7" x14ac:dyDescent="0.25">
      <c r="B22" s="48"/>
      <c r="C22" s="48"/>
      <c r="D22" s="48"/>
      <c r="E22" s="48"/>
      <c r="F22" s="48"/>
      <c r="G22" s="48"/>
    </row>
    <row r="23" spans="2:7" x14ac:dyDescent="0.25">
      <c r="B23" s="48"/>
      <c r="C23" s="48"/>
      <c r="D23" s="48"/>
      <c r="E23" s="48"/>
      <c r="F23" s="48"/>
      <c r="G23" s="48"/>
    </row>
    <row r="24" spans="2:7" x14ac:dyDescent="0.25">
      <c r="B24" s="48"/>
      <c r="C24" s="48"/>
      <c r="D24" s="48"/>
      <c r="E24" s="48"/>
      <c r="F24" s="48"/>
      <c r="G24" s="48"/>
    </row>
    <row r="25" spans="2:7" x14ac:dyDescent="0.25">
      <c r="B25" s="48"/>
      <c r="C25" s="48"/>
      <c r="D25" s="48"/>
      <c r="E25" s="48"/>
      <c r="F25" s="48"/>
      <c r="G25" s="48"/>
    </row>
    <row r="26" spans="2:7" x14ac:dyDescent="0.25">
      <c r="B26" s="48"/>
      <c r="C26" s="48"/>
      <c r="D26" s="48"/>
      <c r="E26" s="48"/>
      <c r="F26" s="48"/>
      <c r="G26" s="48"/>
    </row>
    <row r="27" spans="2:7" x14ac:dyDescent="0.25">
      <c r="B27" s="48"/>
      <c r="C27" s="48"/>
      <c r="D27" s="48"/>
      <c r="E27" s="48"/>
      <c r="F27" s="48"/>
      <c r="G27" s="48"/>
    </row>
    <row r="28" spans="2:7" x14ac:dyDescent="0.25">
      <c r="B28" s="48"/>
      <c r="C28" s="48"/>
      <c r="D28" s="48"/>
      <c r="E28" s="48"/>
      <c r="F28" s="48"/>
      <c r="G28" s="48"/>
    </row>
    <row r="29" spans="2:7" x14ac:dyDescent="0.25">
      <c r="B29" s="48"/>
      <c r="C29" s="48"/>
      <c r="D29" s="48"/>
      <c r="E29" s="48"/>
      <c r="F29" s="48"/>
      <c r="G29" s="48"/>
    </row>
    <row r="30" spans="2:7" x14ac:dyDescent="0.25">
      <c r="B30" s="48"/>
      <c r="C30" s="48"/>
      <c r="D30" s="48"/>
      <c r="E30" s="48"/>
      <c r="F30" s="48"/>
      <c r="G30" s="48"/>
    </row>
    <row r="31" spans="2:7" x14ac:dyDescent="0.25">
      <c r="B31" s="48"/>
      <c r="C31" s="48"/>
      <c r="D31" s="48"/>
      <c r="E31" s="48"/>
      <c r="F31" s="48"/>
      <c r="G31" s="48"/>
    </row>
    <row r="32" spans="2:7" x14ac:dyDescent="0.25">
      <c r="B32" s="48"/>
      <c r="C32" s="48"/>
      <c r="D32" s="48"/>
      <c r="E32" s="48"/>
      <c r="F32" s="48"/>
      <c r="G32" s="48"/>
    </row>
    <row r="33" spans="2:7" x14ac:dyDescent="0.25">
      <c r="B33" s="48"/>
      <c r="C33" s="48"/>
      <c r="D33" s="48"/>
      <c r="E33" s="48"/>
      <c r="F33" s="48"/>
      <c r="G33" s="48"/>
    </row>
    <row r="34" spans="2:7" x14ac:dyDescent="0.25">
      <c r="B34" s="48"/>
      <c r="C34" s="48"/>
      <c r="D34" s="48"/>
      <c r="E34" s="48"/>
      <c r="F34" s="48"/>
      <c r="G34" s="48"/>
    </row>
    <row r="35" spans="2:7" x14ac:dyDescent="0.25">
      <c r="B35" s="48"/>
      <c r="C35" s="48"/>
      <c r="D35" s="48"/>
      <c r="E35" s="48"/>
      <c r="F35" s="48"/>
      <c r="G35" s="48"/>
    </row>
    <row r="36" spans="2:7" x14ac:dyDescent="0.25"/>
    <row r="37" spans="2:7" ht="33.75" x14ac:dyDescent="0.25">
      <c r="B37" s="46" t="s">
        <v>180</v>
      </c>
      <c r="C37" s="46"/>
      <c r="D37" s="46"/>
      <c r="E37" s="46"/>
      <c r="F37" s="46"/>
      <c r="G37" s="46"/>
    </row>
    <row r="38" spans="2:7" ht="15" customHeight="1" x14ac:dyDescent="0.25">
      <c r="B38" s="3"/>
      <c r="C38" s="3"/>
      <c r="D38" s="3"/>
      <c r="E38" s="3"/>
      <c r="F38" s="3"/>
      <c r="G38" s="3"/>
    </row>
    <row r="39" spans="2:7" ht="30.75" x14ac:dyDescent="0.25">
      <c r="B39" s="44" t="s">
        <v>3</v>
      </c>
      <c r="C39" s="44"/>
      <c r="D39" s="44"/>
      <c r="E39" s="44"/>
      <c r="F39" s="44"/>
      <c r="G39" s="44"/>
    </row>
    <row r="40" spans="2:7" x14ac:dyDescent="0.25"/>
    <row r="41" spans="2:7" ht="117.75" customHeight="1" x14ac:dyDescent="0.25">
      <c r="B41" s="45" t="str">
        <f>"1. "&amp;'BD TOM'!K9</f>
        <v>1. Você sabia que "Garota de Ipanema" é uma das canções mais icônicas da música popular brasileira?</v>
      </c>
      <c r="C41" s="45"/>
      <c r="D41" s="45" t="str">
        <f>"2. "&amp;'BD TOM'!K10</f>
        <v>2. Você sabia que "Garota de Ipanema" foi coescrita por Tom Jobim e Vinícius de Moraes?</v>
      </c>
      <c r="E41" s="45"/>
      <c r="F41" s="45" t="str">
        <f>"3. "&amp;'BD TOM'!K11</f>
        <v>3. Você sabia que "Garota de Ipanema" tornou-se um clássico internacional e foi interpretada por diversos artistas renomados?</v>
      </c>
      <c r="G41" s="45"/>
    </row>
    <row r="42" spans="2:7" x14ac:dyDescent="0.25"/>
    <row r="43" spans="2:7" ht="23.25" x14ac:dyDescent="0.25">
      <c r="B43" s="4" t="s">
        <v>4</v>
      </c>
      <c r="C43" s="4" t="s">
        <v>5</v>
      </c>
      <c r="D43" s="4" t="s">
        <v>4</v>
      </c>
      <c r="E43" s="4" t="s">
        <v>5</v>
      </c>
      <c r="F43" s="4" t="s">
        <v>4</v>
      </c>
      <c r="G43" s="4" t="s">
        <v>5</v>
      </c>
    </row>
    <row r="44" spans="2:7" ht="23.25" x14ac:dyDescent="0.25">
      <c r="B44" s="5" t="str">
        <f>'BD TOM'!L9</f>
        <v>Sim!</v>
      </c>
      <c r="C44" s="5">
        <f>COUNTIFS('BD TOM'!D:D,1,'BD TOM'!E:E,1)</f>
        <v>4</v>
      </c>
      <c r="D44" s="5" t="str">
        <f>'BD TOM'!L10</f>
        <v>Sim!</v>
      </c>
      <c r="E44" s="5">
        <f>COUNTIFS('BD TOM'!D:D,2,'BD TOM'!E:E,1)</f>
        <v>4</v>
      </c>
      <c r="F44" s="5" t="str">
        <f>'BD TOM'!L11</f>
        <v>Sim, eu sei.</v>
      </c>
      <c r="G44" s="5">
        <f>COUNTIFS('BD TOM'!D:D,3,'BD TOM'!E:E,1)</f>
        <v>4</v>
      </c>
    </row>
    <row r="45" spans="2:7" ht="46.5" x14ac:dyDescent="0.25">
      <c r="B45" s="6" t="str">
        <f>'BD TOM'!M9</f>
        <v>Não.</v>
      </c>
      <c r="C45" s="5">
        <f>COUNTIFS('BD TOM'!D:D,1,'BD TOM'!E:E,2)</f>
        <v>2</v>
      </c>
      <c r="D45" s="6" t="str">
        <f>'BD TOM'!M10</f>
        <v xml:space="preserve">Não, me diga mais. </v>
      </c>
      <c r="E45" s="5">
        <f>COUNTIFS('BD TOM'!D:D,2,'BD TOM'!E:E,2)</f>
        <v>2</v>
      </c>
      <c r="F45" s="6" t="str">
        <f>'BD TOM'!M11</f>
        <v>Não, me conte mais.</v>
      </c>
      <c r="G45" s="5">
        <f>COUNTIFS('BD TOM'!D:D,3,'BD TOM'!E:E,2)</f>
        <v>2</v>
      </c>
    </row>
    <row r="46" spans="2:7" x14ac:dyDescent="0.25">
      <c r="B46" s="48"/>
      <c r="C46" s="48"/>
      <c r="D46" s="48"/>
      <c r="E46" s="48"/>
      <c r="F46" s="48"/>
      <c r="G46" s="48"/>
    </row>
    <row r="47" spans="2:7" x14ac:dyDescent="0.25">
      <c r="B47" s="48"/>
      <c r="C47" s="48"/>
      <c r="D47" s="48"/>
      <c r="E47" s="48"/>
      <c r="F47" s="48"/>
      <c r="G47" s="48"/>
    </row>
    <row r="48" spans="2:7" x14ac:dyDescent="0.25">
      <c r="B48" s="48"/>
      <c r="C48" s="48"/>
      <c r="D48" s="48"/>
      <c r="E48" s="48"/>
      <c r="F48" s="48"/>
      <c r="G48" s="48"/>
    </row>
    <row r="49" spans="2:7" x14ac:dyDescent="0.25">
      <c r="B49" s="48"/>
      <c r="C49" s="48"/>
      <c r="D49" s="48"/>
      <c r="E49" s="48"/>
      <c r="F49" s="48"/>
      <c r="G49" s="48"/>
    </row>
    <row r="50" spans="2:7" x14ac:dyDescent="0.25">
      <c r="B50" s="48"/>
      <c r="C50" s="48"/>
      <c r="D50" s="48"/>
      <c r="E50" s="48"/>
      <c r="F50" s="48"/>
      <c r="G50" s="48"/>
    </row>
    <row r="51" spans="2:7" x14ac:dyDescent="0.25">
      <c r="B51" s="48"/>
      <c r="C51" s="48"/>
      <c r="D51" s="48"/>
      <c r="E51" s="48"/>
      <c r="F51" s="48"/>
      <c r="G51" s="48"/>
    </row>
    <row r="52" spans="2:7" x14ac:dyDescent="0.25">
      <c r="B52" s="48"/>
      <c r="C52" s="48"/>
      <c r="D52" s="48"/>
      <c r="E52" s="48"/>
      <c r="F52" s="48"/>
      <c r="G52" s="48"/>
    </row>
    <row r="53" spans="2:7" x14ac:dyDescent="0.25">
      <c r="B53" s="48"/>
      <c r="C53" s="48"/>
      <c r="D53" s="48"/>
      <c r="E53" s="48"/>
      <c r="F53" s="48"/>
      <c r="G53" s="48"/>
    </row>
    <row r="54" spans="2:7" x14ac:dyDescent="0.25">
      <c r="B54" s="48"/>
      <c r="C54" s="48"/>
      <c r="D54" s="48"/>
      <c r="E54" s="48"/>
      <c r="F54" s="48"/>
      <c r="G54" s="48"/>
    </row>
    <row r="55" spans="2:7" x14ac:dyDescent="0.25">
      <c r="B55" s="48"/>
      <c r="C55" s="48"/>
      <c r="D55" s="48"/>
      <c r="E55" s="48"/>
      <c r="F55" s="48"/>
      <c r="G55" s="48"/>
    </row>
    <row r="56" spans="2:7" x14ac:dyDescent="0.25">
      <c r="B56" s="48"/>
      <c r="C56" s="48"/>
      <c r="D56" s="48"/>
      <c r="E56" s="48"/>
      <c r="F56" s="48"/>
      <c r="G56" s="48"/>
    </row>
    <row r="57" spans="2:7" x14ac:dyDescent="0.25">
      <c r="B57" s="48"/>
      <c r="C57" s="48"/>
      <c r="D57" s="48"/>
      <c r="E57" s="48"/>
      <c r="F57" s="48"/>
      <c r="G57" s="48"/>
    </row>
    <row r="58" spans="2:7" x14ac:dyDescent="0.25">
      <c r="B58" s="48"/>
      <c r="C58" s="48"/>
      <c r="D58" s="48"/>
      <c r="E58" s="48"/>
      <c r="F58" s="48"/>
      <c r="G58" s="48"/>
    </row>
    <row r="59" spans="2:7" x14ac:dyDescent="0.25">
      <c r="B59" s="48"/>
      <c r="C59" s="48"/>
      <c r="D59" s="48"/>
      <c r="E59" s="48"/>
      <c r="F59" s="48"/>
      <c r="G59" s="48"/>
    </row>
    <row r="60" spans="2:7" x14ac:dyDescent="0.25">
      <c r="B60" s="48"/>
      <c r="C60" s="48"/>
      <c r="D60" s="48"/>
      <c r="E60" s="48"/>
      <c r="F60" s="48"/>
      <c r="G60" s="48"/>
    </row>
    <row r="61" spans="2:7" x14ac:dyDescent="0.25">
      <c r="B61" s="48"/>
      <c r="C61" s="48"/>
      <c r="D61" s="48"/>
      <c r="E61" s="48"/>
      <c r="F61" s="48"/>
      <c r="G61" s="48"/>
    </row>
    <row r="62" spans="2:7" x14ac:dyDescent="0.25">
      <c r="B62" s="48"/>
      <c r="C62" s="48"/>
      <c r="D62" s="48"/>
      <c r="E62" s="48"/>
      <c r="F62" s="48"/>
      <c r="G62" s="48"/>
    </row>
    <row r="63" spans="2:7" x14ac:dyDescent="0.25"/>
    <row r="64" spans="2:7" ht="33.75" x14ac:dyDescent="0.25">
      <c r="B64" s="46" t="s">
        <v>181</v>
      </c>
      <c r="C64" s="46"/>
      <c r="D64" s="46"/>
      <c r="E64" s="46"/>
      <c r="F64" s="46"/>
      <c r="G64" s="46"/>
    </row>
    <row r="65" spans="2:7" ht="15" customHeight="1" x14ac:dyDescent="0.25">
      <c r="B65" s="3"/>
      <c r="C65" s="3"/>
      <c r="D65" s="3"/>
      <c r="E65" s="3"/>
      <c r="F65" s="3"/>
      <c r="G65" s="3"/>
    </row>
    <row r="66" spans="2:7" ht="30.75" x14ac:dyDescent="0.25">
      <c r="B66" s="44" t="s">
        <v>3</v>
      </c>
      <c r="C66" s="44"/>
      <c r="D66" s="44"/>
      <c r="E66" s="44"/>
      <c r="F66" s="44"/>
      <c r="G66" s="44"/>
    </row>
    <row r="67" spans="2:7" x14ac:dyDescent="0.25"/>
    <row r="68" spans="2:7" ht="108.75" customHeight="1" x14ac:dyDescent="0.25">
      <c r="B68" s="45" t="str">
        <f>"1. "&amp;'BD TOM'!K15</f>
        <v>1. Você sabia que "Wave" é uma das composições mais conhecidas de Tom Jobim?"</v>
      </c>
      <c r="C68" s="45"/>
      <c r="D68" s="45" t="str">
        <f>"2. "&amp;'BD TOM'!K16</f>
        <v>2.  Você sabia que "Wave" foi composta por Tom Jobim em homenagem às praias e ao oceano do Brasil?"</v>
      </c>
      <c r="E68" s="45"/>
      <c r="F68" s="45" t="str">
        <f>"3. "&amp;'BD TOM'!K17</f>
        <v>3. Você sabia que "Wave" é uma das composições de Tom Jobim que ganhou reconhecimento internacional?"</v>
      </c>
      <c r="G68" s="45"/>
    </row>
    <row r="69" spans="2:7" x14ac:dyDescent="0.25"/>
    <row r="70" spans="2:7" ht="23.25" x14ac:dyDescent="0.25">
      <c r="B70" s="4" t="s">
        <v>4</v>
      </c>
      <c r="C70" s="4" t="s">
        <v>5</v>
      </c>
      <c r="D70" s="4" t="s">
        <v>4</v>
      </c>
      <c r="E70" s="4" t="s">
        <v>5</v>
      </c>
      <c r="F70" s="4" t="s">
        <v>4</v>
      </c>
      <c r="G70" s="4" t="s">
        <v>5</v>
      </c>
    </row>
    <row r="71" spans="2:7" ht="23.25" x14ac:dyDescent="0.25">
      <c r="B71" s="5" t="str">
        <f>'BD TOM'!L15</f>
        <v>Sim!</v>
      </c>
      <c r="C71" s="5">
        <f>COUNTIFS('BD TOM'!G:G,1,'BD TOM'!H:H,1)</f>
        <v>3</v>
      </c>
      <c r="D71" s="5" t="str">
        <f>'BD TOM'!L16</f>
        <v>Sim!</v>
      </c>
      <c r="E71" s="5">
        <f>COUNTIFS('BD TOM'!G:G,2,'BD TOM'!H:H,1)</f>
        <v>2</v>
      </c>
      <c r="F71" s="5" t="str">
        <f>'BD TOM'!L17</f>
        <v>Sim, eu sei.</v>
      </c>
      <c r="G71" s="5">
        <f>COUNTIFS('BD TOM'!G:G,3,'BD TOM'!H:H,1)</f>
        <v>2</v>
      </c>
    </row>
    <row r="72" spans="2:7" ht="58.5" customHeight="1" x14ac:dyDescent="0.25">
      <c r="B72" s="6" t="str">
        <f>'BD TOM'!M15</f>
        <v>Não.</v>
      </c>
      <c r="C72" s="5">
        <f>COUNTIFS('BD TOM'!G:G,1,'BD TOM'!H:H,2)</f>
        <v>3</v>
      </c>
      <c r="D72" s="6" t="str">
        <f>'BD TOM'!M16</f>
        <v xml:space="preserve">Não, me diga mais. </v>
      </c>
      <c r="E72" s="5">
        <f>COUNTIFS('BD TOM'!G:G,2,'BD TOM'!H:H,2)</f>
        <v>4</v>
      </c>
      <c r="F72" s="6" t="str">
        <f>'BD TOM'!M17</f>
        <v>Não, me conte mais.</v>
      </c>
      <c r="G72" s="5">
        <f>COUNTIFS('BD TOM'!G:G,3,'BD TOM'!H:H,2)</f>
        <v>4</v>
      </c>
    </row>
    <row r="73" spans="2:7" x14ac:dyDescent="0.25">
      <c r="B73" s="48"/>
      <c r="C73" s="48"/>
      <c r="D73" s="48"/>
      <c r="E73" s="48"/>
      <c r="F73" s="48"/>
      <c r="G73" s="48"/>
    </row>
    <row r="74" spans="2:7" x14ac:dyDescent="0.25">
      <c r="B74" s="48"/>
      <c r="C74" s="48"/>
      <c r="D74" s="48"/>
      <c r="E74" s="48"/>
      <c r="F74" s="48"/>
      <c r="G74" s="48"/>
    </row>
    <row r="75" spans="2:7" x14ac:dyDescent="0.25">
      <c r="B75" s="48"/>
      <c r="C75" s="48"/>
      <c r="D75" s="48"/>
      <c r="E75" s="48"/>
      <c r="F75" s="48"/>
      <c r="G75" s="48"/>
    </row>
    <row r="76" spans="2:7" x14ac:dyDescent="0.25">
      <c r="B76" s="48"/>
      <c r="C76" s="48"/>
      <c r="D76" s="48"/>
      <c r="E76" s="48"/>
      <c r="F76" s="48"/>
      <c r="G76" s="48"/>
    </row>
    <row r="77" spans="2:7" x14ac:dyDescent="0.25">
      <c r="B77" s="48"/>
      <c r="C77" s="48"/>
      <c r="D77" s="48"/>
      <c r="E77" s="48"/>
      <c r="F77" s="48"/>
      <c r="G77" s="48"/>
    </row>
    <row r="78" spans="2:7" x14ac:dyDescent="0.25">
      <c r="B78" s="48"/>
      <c r="C78" s="48"/>
      <c r="D78" s="48"/>
      <c r="E78" s="48"/>
      <c r="F78" s="48"/>
      <c r="G78" s="48"/>
    </row>
    <row r="79" spans="2:7" x14ac:dyDescent="0.25">
      <c r="B79" s="48"/>
      <c r="C79" s="48"/>
      <c r="D79" s="48"/>
      <c r="E79" s="48"/>
      <c r="F79" s="48"/>
      <c r="G79" s="48"/>
    </row>
    <row r="80" spans="2:7" x14ac:dyDescent="0.25">
      <c r="B80" s="48"/>
      <c r="C80" s="48"/>
      <c r="D80" s="48"/>
      <c r="E80" s="48"/>
      <c r="F80" s="48"/>
      <c r="G80" s="48"/>
    </row>
    <row r="81" spans="2:7" x14ac:dyDescent="0.25">
      <c r="B81" s="48"/>
      <c r="C81" s="48"/>
      <c r="D81" s="48"/>
      <c r="E81" s="48"/>
      <c r="F81" s="48"/>
      <c r="G81" s="48"/>
    </row>
    <row r="82" spans="2:7" x14ac:dyDescent="0.25">
      <c r="B82" s="48"/>
      <c r="C82" s="48"/>
      <c r="D82" s="48"/>
      <c r="E82" s="48"/>
      <c r="F82" s="48"/>
      <c r="G82" s="48"/>
    </row>
    <row r="83" spans="2:7" x14ac:dyDescent="0.25">
      <c r="B83" s="48"/>
      <c r="C83" s="48"/>
      <c r="D83" s="48"/>
      <c r="E83" s="48"/>
      <c r="F83" s="48"/>
      <c r="G83" s="48"/>
    </row>
    <row r="84" spans="2:7" x14ac:dyDescent="0.25">
      <c r="B84" s="48"/>
      <c r="C84" s="48"/>
      <c r="D84" s="48"/>
      <c r="E84" s="48"/>
      <c r="F84" s="48"/>
      <c r="G84" s="48"/>
    </row>
    <row r="85" spans="2:7" x14ac:dyDescent="0.25">
      <c r="B85" s="48"/>
      <c r="C85" s="48"/>
      <c r="D85" s="48"/>
      <c r="E85" s="48"/>
      <c r="F85" s="48"/>
      <c r="G85" s="48"/>
    </row>
    <row r="86" spans="2:7" x14ac:dyDescent="0.25">
      <c r="B86" s="48"/>
      <c r="C86" s="48"/>
      <c r="D86" s="48"/>
      <c r="E86" s="48"/>
      <c r="F86" s="48"/>
      <c r="G86" s="48"/>
    </row>
    <row r="87" spans="2:7" x14ac:dyDescent="0.25">
      <c r="B87" s="48"/>
      <c r="C87" s="48"/>
      <c r="D87" s="48"/>
      <c r="E87" s="48"/>
      <c r="F87" s="48"/>
      <c r="G87" s="48"/>
    </row>
    <row r="88" spans="2:7" x14ac:dyDescent="0.25">
      <c r="B88" s="48"/>
      <c r="C88" s="48"/>
      <c r="D88" s="48"/>
      <c r="E88" s="48"/>
      <c r="F88" s="48"/>
      <c r="G88" s="48"/>
    </row>
    <row r="89" spans="2:7" x14ac:dyDescent="0.25">
      <c r="B89" s="48"/>
      <c r="C89" s="48"/>
      <c r="D89" s="48"/>
      <c r="E89" s="48"/>
      <c r="F89" s="48"/>
      <c r="G89" s="48"/>
    </row>
    <row r="90" spans="2:7" x14ac:dyDescent="0.25"/>
  </sheetData>
  <mergeCells count="28">
    <mergeCell ref="B73:C89"/>
    <mergeCell ref="D73:E89"/>
    <mergeCell ref="F73:G89"/>
    <mergeCell ref="B37:G37"/>
    <mergeCell ref="B39:G39"/>
    <mergeCell ref="B41:C41"/>
    <mergeCell ref="D41:E41"/>
    <mergeCell ref="F41:G41"/>
    <mergeCell ref="B46:C62"/>
    <mergeCell ref="D46:E62"/>
    <mergeCell ref="F46:G62"/>
    <mergeCell ref="B64:G64"/>
    <mergeCell ref="B66:G66"/>
    <mergeCell ref="B68:C68"/>
    <mergeCell ref="D68:E68"/>
    <mergeCell ref="F68:G68"/>
    <mergeCell ref="B14:C14"/>
    <mergeCell ref="D14:E14"/>
    <mergeCell ref="F14:G14"/>
    <mergeCell ref="B19:C35"/>
    <mergeCell ref="D19:E35"/>
    <mergeCell ref="F19:G35"/>
    <mergeCell ref="B12:G12"/>
    <mergeCell ref="B1:G1"/>
    <mergeCell ref="B3:D3"/>
    <mergeCell ref="E3:G3"/>
    <mergeCell ref="B5:G5"/>
    <mergeCell ref="B10:G10"/>
  </mergeCells>
  <pageMargins left="0.25" right="0.25" top="0.75" bottom="0.75" header="0.3" footer="0.3"/>
  <pageSetup paperSize="9" scale="37"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64AB1-33DE-4D58-B0B5-DEFBBCB335A2}">
  <sheetPr codeName="Planilha7"/>
  <dimension ref="A1:S22"/>
  <sheetViews>
    <sheetView workbookViewId="0">
      <selection activeCell="D1" sqref="D1:H1048576"/>
    </sheetView>
  </sheetViews>
  <sheetFormatPr defaultRowHeight="15" x14ac:dyDescent="0.25"/>
  <cols>
    <col min="1" max="1" width="26.7109375" bestFit="1" customWidth="1"/>
    <col min="2" max="2" width="21" bestFit="1" customWidth="1"/>
    <col min="3" max="3" width="9.140625" bestFit="1" customWidth="1"/>
    <col min="4" max="4" width="18.5703125" bestFit="1" customWidth="1"/>
    <col min="5" max="5" width="18" bestFit="1" customWidth="1"/>
    <col min="6" max="6" width="19.28515625" bestFit="1" customWidth="1"/>
    <col min="7" max="7" width="17.28515625" bestFit="1" customWidth="1"/>
    <col min="8" max="8" width="12.85546875" bestFit="1" customWidth="1"/>
    <col min="9" max="9" width="23.85546875" bestFit="1" customWidth="1"/>
    <col min="10" max="10" width="24" customWidth="1"/>
    <col min="12" max="12" width="22.28515625" bestFit="1" customWidth="1"/>
    <col min="13" max="13" width="12.28515625" bestFit="1" customWidth="1"/>
    <col min="14" max="14" width="18.7109375" bestFit="1" customWidth="1"/>
    <col min="15" max="15" width="12.85546875" style="10" bestFit="1" customWidth="1"/>
    <col min="16" max="16" width="10.7109375" bestFit="1" customWidth="1"/>
    <col min="17" max="18" width="21.5703125" style="8" bestFit="1" customWidth="1"/>
    <col min="19" max="19" width="17.5703125" style="8" bestFit="1" customWidth="1"/>
  </cols>
  <sheetData>
    <row r="1" spans="1:19" x14ac:dyDescent="0.25">
      <c r="A1" t="s">
        <v>216</v>
      </c>
      <c r="B1" t="s">
        <v>217</v>
      </c>
      <c r="C1" t="s">
        <v>236</v>
      </c>
      <c r="D1" t="s">
        <v>101</v>
      </c>
      <c r="E1" t="s">
        <v>99</v>
      </c>
      <c r="F1" t="s">
        <v>102</v>
      </c>
      <c r="G1" t="s">
        <v>0</v>
      </c>
      <c r="H1" t="s">
        <v>103</v>
      </c>
      <c r="I1" t="s">
        <v>218</v>
      </c>
      <c r="J1" t="s">
        <v>219</v>
      </c>
      <c r="L1" s="11" t="s">
        <v>228</v>
      </c>
      <c r="M1" s="11" t="s">
        <v>227</v>
      </c>
      <c r="N1" s="11" t="s">
        <v>229</v>
      </c>
      <c r="O1" s="12" t="s">
        <v>233</v>
      </c>
      <c r="Q1" s="18" t="s">
        <v>221</v>
      </c>
      <c r="R1" s="18" t="s">
        <v>246</v>
      </c>
      <c r="S1" s="18" t="s">
        <v>231</v>
      </c>
    </row>
    <row r="2" spans="1:19" x14ac:dyDescent="0.25">
      <c r="A2" s="51" t="s">
        <v>220</v>
      </c>
      <c r="B2" s="9">
        <v>38525</v>
      </c>
      <c r="C2">
        <v>18</v>
      </c>
      <c r="D2">
        <v>0</v>
      </c>
      <c r="E2">
        <v>0</v>
      </c>
      <c r="F2">
        <v>0</v>
      </c>
      <c r="G2">
        <v>1</v>
      </c>
      <c r="H2">
        <v>1</v>
      </c>
      <c r="I2" s="51" t="s">
        <v>221</v>
      </c>
      <c r="J2" s="51" t="s">
        <v>222</v>
      </c>
      <c r="L2" s="13" t="s">
        <v>0</v>
      </c>
      <c r="M2" s="13" t="s">
        <v>2</v>
      </c>
      <c r="N2" s="14">
        <f>COUNTIF('BD CAET'!A3:A1048576,1)</f>
        <v>8</v>
      </c>
      <c r="O2" s="15">
        <f>COUNTIF(G:G,1)</f>
        <v>8</v>
      </c>
      <c r="Q2" s="20">
        <f>30*COUNTIF(I:I,"Inteira")</f>
        <v>120</v>
      </c>
      <c r="R2" s="20">
        <f>15*COUNTIF(I:I,"Meia")</f>
        <v>60</v>
      </c>
      <c r="S2" s="21">
        <f>Q2+R2</f>
        <v>180</v>
      </c>
    </row>
    <row r="3" spans="1:19" x14ac:dyDescent="0.25">
      <c r="A3" s="51" t="s">
        <v>220</v>
      </c>
      <c r="B3" s="9">
        <v>38525</v>
      </c>
      <c r="C3">
        <v>18</v>
      </c>
      <c r="D3">
        <v>0</v>
      </c>
      <c r="E3">
        <v>0</v>
      </c>
      <c r="F3">
        <v>0</v>
      </c>
      <c r="G3">
        <v>1</v>
      </c>
      <c r="H3">
        <v>1</v>
      </c>
      <c r="I3" s="51" t="s">
        <v>223</v>
      </c>
      <c r="J3" s="51" t="s">
        <v>222</v>
      </c>
      <c r="L3" s="13" t="s">
        <v>0</v>
      </c>
      <c r="M3" s="13" t="s">
        <v>7</v>
      </c>
      <c r="N3" s="14">
        <f>COUNTIF('BD CAET'!D3:D1048576,1)</f>
        <v>4</v>
      </c>
      <c r="O3" s="16"/>
      <c r="Q3" s="18">
        <f>COUNTIF(I:I,"Inteira")</f>
        <v>4</v>
      </c>
      <c r="R3" s="18">
        <f>COUNTIF(I:I,"Meia")</f>
        <v>4</v>
      </c>
    </row>
    <row r="4" spans="1:19" x14ac:dyDescent="0.25">
      <c r="A4" s="51" t="s">
        <v>220</v>
      </c>
      <c r="B4" s="9">
        <v>38525</v>
      </c>
      <c r="C4">
        <v>18</v>
      </c>
      <c r="D4">
        <v>0</v>
      </c>
      <c r="E4">
        <v>0</v>
      </c>
      <c r="F4">
        <v>0</v>
      </c>
      <c r="G4">
        <v>1</v>
      </c>
      <c r="H4">
        <v>1</v>
      </c>
      <c r="I4" s="51" t="s">
        <v>223</v>
      </c>
      <c r="J4" s="51" t="s">
        <v>222</v>
      </c>
      <c r="L4" s="13" t="s">
        <v>0</v>
      </c>
      <c r="M4" s="13" t="s">
        <v>8</v>
      </c>
      <c r="N4" s="14">
        <f>COUNTIF('BD CAET'!G3:G1048576,1)</f>
        <v>4</v>
      </c>
      <c r="O4" s="17"/>
    </row>
    <row r="5" spans="1:19" x14ac:dyDescent="0.25">
      <c r="A5" s="51" t="s">
        <v>224</v>
      </c>
      <c r="B5" s="9">
        <v>38525</v>
      </c>
      <c r="C5">
        <v>18</v>
      </c>
      <c r="D5">
        <v>0</v>
      </c>
      <c r="E5">
        <v>0</v>
      </c>
      <c r="F5">
        <v>0</v>
      </c>
      <c r="G5">
        <v>1</v>
      </c>
      <c r="H5">
        <v>0</v>
      </c>
      <c r="I5" s="51" t="s">
        <v>223</v>
      </c>
      <c r="J5" s="51" t="s">
        <v>222</v>
      </c>
      <c r="L5" s="13" t="s">
        <v>99</v>
      </c>
      <c r="M5" s="13" t="s">
        <v>60</v>
      </c>
      <c r="N5" s="14">
        <f>COUNTIF('BD DILERM'!A3:A1048576,1)</f>
        <v>4</v>
      </c>
      <c r="O5" s="15">
        <f>COUNTIF(E:E,1)</f>
        <v>2</v>
      </c>
      <c r="Q5" s="18" t="s">
        <v>238</v>
      </c>
      <c r="R5" s="18" t="s">
        <v>239</v>
      </c>
    </row>
    <row r="6" spans="1:19" x14ac:dyDescent="0.25">
      <c r="A6" s="51" t="s">
        <v>225</v>
      </c>
      <c r="B6" s="9">
        <v>38525</v>
      </c>
      <c r="C6">
        <v>18</v>
      </c>
      <c r="D6">
        <v>0</v>
      </c>
      <c r="E6">
        <v>0</v>
      </c>
      <c r="F6">
        <v>0</v>
      </c>
      <c r="G6">
        <v>1</v>
      </c>
      <c r="H6">
        <v>0</v>
      </c>
      <c r="I6" s="51" t="s">
        <v>221</v>
      </c>
      <c r="J6" s="51" t="s">
        <v>222</v>
      </c>
      <c r="L6" s="13" t="s">
        <v>99</v>
      </c>
      <c r="M6" s="13" t="s">
        <v>61</v>
      </c>
      <c r="N6" s="14">
        <f>COUNTIF('BD DILERM'!D3:D1048576,1)</f>
        <v>1</v>
      </c>
      <c r="O6" s="16"/>
      <c r="Q6" s="20">
        <f>30*COUNTIFS(I:I,"Inteira",J:J,"Boleto")+15*COUNTIFS(I:I,"Meia",J:J,"Boleto")</f>
        <v>105</v>
      </c>
      <c r="R6" s="20">
        <f>30*COUNTIFS(I:I,"Inteira",J:J,"PIX")+15*COUNTIFS(I:I,"Meia",J:J,"PIX")</f>
        <v>75</v>
      </c>
    </row>
    <row r="7" spans="1:19" x14ac:dyDescent="0.25">
      <c r="A7" s="51" t="s">
        <v>220</v>
      </c>
      <c r="B7" s="9">
        <v>38525</v>
      </c>
      <c r="C7">
        <v>18</v>
      </c>
      <c r="D7">
        <v>0</v>
      </c>
      <c r="E7">
        <v>0</v>
      </c>
      <c r="F7">
        <v>0</v>
      </c>
      <c r="G7">
        <v>1</v>
      </c>
      <c r="H7">
        <v>0</v>
      </c>
      <c r="I7" s="51" t="s">
        <v>221</v>
      </c>
      <c r="J7" s="51" t="s">
        <v>226</v>
      </c>
      <c r="L7" s="13" t="s">
        <v>99</v>
      </c>
      <c r="M7" s="13" t="s">
        <v>97</v>
      </c>
      <c r="N7" s="14">
        <f>COUNTIF('BD DILERM'!G3:G1048576,1)</f>
        <v>3</v>
      </c>
      <c r="O7" s="16"/>
      <c r="Q7" s="27">
        <f>COUNTIF(J:J,"Boleto")</f>
        <v>5</v>
      </c>
      <c r="R7" s="27">
        <f>COUNTIF(J:J,"PIX")</f>
        <v>3</v>
      </c>
    </row>
    <row r="8" spans="1:19" x14ac:dyDescent="0.25">
      <c r="A8" s="51" t="s">
        <v>240</v>
      </c>
      <c r="B8" s="9">
        <v>31133</v>
      </c>
      <c r="C8">
        <v>38</v>
      </c>
      <c r="D8">
        <v>1</v>
      </c>
      <c r="E8">
        <v>1</v>
      </c>
      <c r="F8">
        <v>1</v>
      </c>
      <c r="G8">
        <v>1</v>
      </c>
      <c r="H8">
        <v>1</v>
      </c>
      <c r="I8" s="51" t="s">
        <v>223</v>
      </c>
      <c r="J8" s="51" t="s">
        <v>226</v>
      </c>
      <c r="L8" s="13" t="s">
        <v>101</v>
      </c>
      <c r="M8" s="13" t="s">
        <v>230</v>
      </c>
      <c r="N8" s="14">
        <f>COUNTIF('BD ERNE'!A3:A1048576,1)</f>
        <v>8</v>
      </c>
      <c r="O8" s="15">
        <f>COUNTIF(D:D,1)</f>
        <v>2</v>
      </c>
      <c r="Q8" s="29">
        <f>Q7/Q11</f>
        <v>0.625</v>
      </c>
      <c r="R8" s="28">
        <f>R7/Q11</f>
        <v>0.375</v>
      </c>
    </row>
    <row r="9" spans="1:19" x14ac:dyDescent="0.25">
      <c r="A9" s="51" t="s">
        <v>249</v>
      </c>
      <c r="B9" s="9">
        <v>33823</v>
      </c>
      <c r="C9">
        <v>31</v>
      </c>
      <c r="D9">
        <v>1</v>
      </c>
      <c r="E9">
        <v>1</v>
      </c>
      <c r="F9">
        <v>1</v>
      </c>
      <c r="G9">
        <v>1</v>
      </c>
      <c r="H9">
        <v>1</v>
      </c>
      <c r="I9" s="51" t="s">
        <v>221</v>
      </c>
      <c r="J9" s="51" t="s">
        <v>226</v>
      </c>
      <c r="L9" s="13" t="s">
        <v>101</v>
      </c>
      <c r="M9" s="13" t="s">
        <v>105</v>
      </c>
      <c r="N9" s="14">
        <f>COUNTIF('BD ERNE'!D3:D1048576,1)</f>
        <v>6</v>
      </c>
      <c r="O9" s="16"/>
    </row>
    <row r="10" spans="1:19" x14ac:dyDescent="0.25">
      <c r="L10" s="13" t="s">
        <v>101</v>
      </c>
      <c r="M10" s="13" t="s">
        <v>106</v>
      </c>
      <c r="N10" s="14">
        <f>COUNTIF('BD ERNE'!G3:G1048576,1)</f>
        <v>4</v>
      </c>
      <c r="O10" s="16"/>
      <c r="Q10" s="18" t="s">
        <v>232</v>
      </c>
      <c r="R10" s="18" t="s">
        <v>234</v>
      </c>
      <c r="S10" s="18" t="s">
        <v>235</v>
      </c>
    </row>
    <row r="11" spans="1:19" x14ac:dyDescent="0.25">
      <c r="L11" s="13" t="s">
        <v>102</v>
      </c>
      <c r="M11" s="13" t="s">
        <v>145</v>
      </c>
      <c r="N11" s="14">
        <f>COUNTIF('BD HEIT'!A3:A1048576,1)</f>
        <v>1</v>
      </c>
      <c r="O11" s="15">
        <f>COUNTIF(F:F,1)</f>
        <v>2</v>
      </c>
      <c r="Q11" s="18">
        <f>COUNTA(A2:A1048576)</f>
        <v>8</v>
      </c>
      <c r="R11" s="18" t="str">
        <f>INDEX(L2:L16,MATCH(LARGE(O2:O16,1),O2:O16,0))</f>
        <v>Caetano Veloso</v>
      </c>
      <c r="S11" s="18" t="str">
        <f>INDEX(M2:M16,MATCH(LARGE(N2:N16,1),N2:N16,0))</f>
        <v>Alegria Alegria</v>
      </c>
    </row>
    <row r="12" spans="1:19" x14ac:dyDescent="0.25">
      <c r="L12" s="13" t="s">
        <v>102</v>
      </c>
      <c r="M12" s="13" t="s">
        <v>146</v>
      </c>
      <c r="N12" s="14">
        <f>COUNTIF('BD HEIT'!D3:D1048576,1)</f>
        <v>1</v>
      </c>
      <c r="O12" s="16"/>
      <c r="Q12" s="18"/>
      <c r="R12" s="18">
        <f>INDEX(O2:O16,MATCH(R11,L2:L16,0))</f>
        <v>8</v>
      </c>
      <c r="S12" s="18" t="str">
        <f>INDEX(L2:L16,MATCH(S11,M2:M16,0))</f>
        <v>Caetano Veloso</v>
      </c>
    </row>
    <row r="13" spans="1:19" x14ac:dyDescent="0.25">
      <c r="L13" s="13" t="s">
        <v>102</v>
      </c>
      <c r="M13" s="13" t="s">
        <v>147</v>
      </c>
      <c r="N13" s="14">
        <f>COUNTIF('BD HEIT'!G3:G1048576,1)</f>
        <v>1</v>
      </c>
      <c r="O13" s="16"/>
      <c r="S13" s="18">
        <f>INDEX(N2:N16,MATCH(S11,M2:M16,0))</f>
        <v>8</v>
      </c>
    </row>
    <row r="14" spans="1:19" x14ac:dyDescent="0.25">
      <c r="L14" s="13" t="s">
        <v>103</v>
      </c>
      <c r="M14" s="13" t="s">
        <v>215</v>
      </c>
      <c r="N14" s="14">
        <f>COUNTIF('BD TOM'!A3:A1048576,1)</f>
        <v>4</v>
      </c>
      <c r="O14" s="15">
        <f>COUNTIF(H:H,1)</f>
        <v>5</v>
      </c>
    </row>
    <row r="15" spans="1:19" x14ac:dyDescent="0.25">
      <c r="L15" s="13" t="s">
        <v>103</v>
      </c>
      <c r="M15" s="13" t="s">
        <v>180</v>
      </c>
      <c r="N15" s="14">
        <f>COUNTIF('BD TOM'!D3:D1048576,1)</f>
        <v>6</v>
      </c>
      <c r="O15" s="16"/>
      <c r="Q15" s="18" t="s">
        <v>237</v>
      </c>
    </row>
    <row r="16" spans="1:19" x14ac:dyDescent="0.25">
      <c r="L16" s="13" t="s">
        <v>103</v>
      </c>
      <c r="M16" s="13" t="s">
        <v>181</v>
      </c>
      <c r="N16" s="14">
        <f>COUNTIF('BD TOM'!G3:G1048576,1)</f>
        <v>6</v>
      </c>
      <c r="O16" s="17"/>
      <c r="Q16" s="19">
        <f>AVERAGE(C:C)</f>
        <v>22.125</v>
      </c>
    </row>
    <row r="18" spans="12:15" x14ac:dyDescent="0.25">
      <c r="L18" s="25" t="s">
        <v>242</v>
      </c>
      <c r="M18" t="s">
        <v>244</v>
      </c>
      <c r="O18"/>
    </row>
    <row r="19" spans="12:15" x14ac:dyDescent="0.25">
      <c r="L19" s="26" t="s">
        <v>230</v>
      </c>
      <c r="M19" s="51">
        <v>7</v>
      </c>
      <c r="O19"/>
    </row>
    <row r="20" spans="12:15" x14ac:dyDescent="0.25">
      <c r="L20" s="26" t="s">
        <v>105</v>
      </c>
      <c r="M20" s="51">
        <v>6</v>
      </c>
      <c r="O20"/>
    </row>
    <row r="21" spans="12:15" x14ac:dyDescent="0.25">
      <c r="L21" s="26" t="s">
        <v>106</v>
      </c>
      <c r="M21" s="51">
        <v>3</v>
      </c>
    </row>
    <row r="22" spans="12:15" x14ac:dyDescent="0.25">
      <c r="L22" s="26" t="s">
        <v>243</v>
      </c>
      <c r="M22" s="51">
        <v>16</v>
      </c>
    </row>
  </sheetData>
  <pageMargins left="0.511811024" right="0.511811024" top="0.78740157499999996" bottom="0.78740157499999996" header="0.31496062000000002" footer="0.31496062000000002"/>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D85DD-41EA-4F85-84DC-308ED9F24593}">
  <sheetPr codeName="Planilha8"/>
  <dimension ref="A1:Q26"/>
  <sheetViews>
    <sheetView topLeftCell="A10" zoomScaleNormal="100" workbookViewId="0">
      <selection activeCell="J23" sqref="J23"/>
    </sheetView>
  </sheetViews>
  <sheetFormatPr defaultRowHeight="15" x14ac:dyDescent="0.25"/>
  <cols>
    <col min="1" max="2" width="11.140625" bestFit="1" customWidth="1"/>
    <col min="4" max="5" width="11.140625" bestFit="1" customWidth="1"/>
    <col min="7" max="7" width="14.7109375" bestFit="1" customWidth="1"/>
    <col min="8" max="8" width="11.28515625" bestFit="1" customWidth="1"/>
    <col min="10" max="10" width="15.28515625" bestFit="1" customWidth="1"/>
    <col min="11" max="11" width="81.140625" bestFit="1" customWidth="1"/>
    <col min="12" max="12" width="11.140625" bestFit="1" customWidth="1"/>
    <col min="13" max="13" width="38.140625" bestFit="1" customWidth="1"/>
    <col min="14" max="15" width="81.140625" bestFit="1" customWidth="1"/>
  </cols>
  <sheetData>
    <row r="1" spans="1:17" x14ac:dyDescent="0.25">
      <c r="A1" s="50" t="s">
        <v>2</v>
      </c>
      <c r="B1" s="50"/>
      <c r="D1" s="50" t="s">
        <v>7</v>
      </c>
      <c r="E1" s="50"/>
      <c r="G1" s="50" t="s">
        <v>8</v>
      </c>
      <c r="H1" s="50"/>
      <c r="J1" s="50" t="s">
        <v>2</v>
      </c>
      <c r="K1" s="50"/>
      <c r="M1" s="50"/>
      <c r="N1" s="50"/>
      <c r="P1" s="50"/>
      <c r="Q1" s="50"/>
    </row>
    <row r="2" spans="1:17" x14ac:dyDescent="0.25">
      <c r="A2" t="s">
        <v>9</v>
      </c>
      <c r="B2" t="s">
        <v>10</v>
      </c>
      <c r="D2" t="s">
        <v>9</v>
      </c>
      <c r="E2" t="s">
        <v>10</v>
      </c>
      <c r="G2" t="s">
        <v>11</v>
      </c>
      <c r="H2" t="s">
        <v>4</v>
      </c>
      <c r="J2" t="s">
        <v>9</v>
      </c>
      <c r="K2" t="s">
        <v>10</v>
      </c>
      <c r="L2" t="s">
        <v>12</v>
      </c>
      <c r="M2" t="s">
        <v>13</v>
      </c>
      <c r="N2" t="s">
        <v>14</v>
      </c>
      <c r="O2" t="s">
        <v>15</v>
      </c>
    </row>
    <row r="3" spans="1:17" x14ac:dyDescent="0.25">
      <c r="A3">
        <v>1</v>
      </c>
      <c r="B3">
        <v>1</v>
      </c>
      <c r="D3">
        <v>1</v>
      </c>
      <c r="E3">
        <v>2</v>
      </c>
      <c r="G3">
        <v>1</v>
      </c>
      <c r="H3">
        <v>1</v>
      </c>
      <c r="J3" t="s">
        <v>16</v>
      </c>
      <c r="K3" t="s">
        <v>17</v>
      </c>
      <c r="L3" t="s">
        <v>18</v>
      </c>
      <c r="M3" t="s">
        <v>19</v>
      </c>
      <c r="N3" t="s">
        <v>20</v>
      </c>
      <c r="O3" t="s">
        <v>21</v>
      </c>
    </row>
    <row r="4" spans="1:17" x14ac:dyDescent="0.25">
      <c r="A4">
        <v>2</v>
      </c>
      <c r="B4">
        <v>2</v>
      </c>
      <c r="D4">
        <v>2</v>
      </c>
      <c r="E4">
        <v>2</v>
      </c>
      <c r="G4">
        <v>2</v>
      </c>
      <c r="H4">
        <v>1</v>
      </c>
      <c r="J4" t="s">
        <v>22</v>
      </c>
      <c r="K4" t="s">
        <v>23</v>
      </c>
      <c r="L4" t="s">
        <v>18</v>
      </c>
      <c r="M4" t="s">
        <v>24</v>
      </c>
      <c r="N4" t="s">
        <v>25</v>
      </c>
      <c r="O4" t="s">
        <v>26</v>
      </c>
    </row>
    <row r="5" spans="1:17" x14ac:dyDescent="0.25">
      <c r="A5">
        <v>3</v>
      </c>
      <c r="B5">
        <v>1</v>
      </c>
      <c r="D5">
        <v>3</v>
      </c>
      <c r="E5">
        <v>2</v>
      </c>
      <c r="G5">
        <v>3</v>
      </c>
      <c r="H5">
        <v>1</v>
      </c>
      <c r="J5" t="s">
        <v>27</v>
      </c>
      <c r="K5" t="s">
        <v>28</v>
      </c>
      <c r="L5" t="s">
        <v>29</v>
      </c>
      <c r="M5" t="s">
        <v>30</v>
      </c>
      <c r="N5" t="s">
        <v>31</v>
      </c>
      <c r="O5" t="s">
        <v>32</v>
      </c>
    </row>
    <row r="6" spans="1:17" x14ac:dyDescent="0.25">
      <c r="A6">
        <v>1</v>
      </c>
      <c r="B6">
        <v>2</v>
      </c>
      <c r="D6">
        <v>1</v>
      </c>
      <c r="E6">
        <v>1</v>
      </c>
      <c r="G6">
        <v>1</v>
      </c>
      <c r="H6">
        <v>1</v>
      </c>
      <c r="J6" t="s">
        <v>33</v>
      </c>
      <c r="K6" t="s">
        <v>34</v>
      </c>
      <c r="L6" t="s">
        <v>35</v>
      </c>
      <c r="M6" t="s">
        <v>35</v>
      </c>
      <c r="N6" t="s">
        <v>35</v>
      </c>
      <c r="O6" t="s">
        <v>35</v>
      </c>
    </row>
    <row r="7" spans="1:17" x14ac:dyDescent="0.25">
      <c r="A7">
        <v>2</v>
      </c>
      <c r="B7">
        <v>2</v>
      </c>
      <c r="D7">
        <v>2</v>
      </c>
      <c r="E7">
        <v>1</v>
      </c>
      <c r="G7">
        <v>2</v>
      </c>
      <c r="H7">
        <v>1</v>
      </c>
    </row>
    <row r="8" spans="1:17" x14ac:dyDescent="0.25">
      <c r="A8">
        <v>3</v>
      </c>
      <c r="B8">
        <v>2</v>
      </c>
      <c r="D8">
        <v>3</v>
      </c>
      <c r="E8">
        <v>1</v>
      </c>
      <c r="G8">
        <v>3</v>
      </c>
      <c r="H8">
        <v>1</v>
      </c>
    </row>
    <row r="9" spans="1:17" x14ac:dyDescent="0.25">
      <c r="A9">
        <v>1</v>
      </c>
      <c r="B9">
        <v>1</v>
      </c>
      <c r="D9">
        <v>1</v>
      </c>
      <c r="E9">
        <v>1</v>
      </c>
      <c r="G9">
        <v>1</v>
      </c>
      <c r="H9">
        <v>1</v>
      </c>
      <c r="J9" t="s">
        <v>9</v>
      </c>
      <c r="K9" t="s">
        <v>10</v>
      </c>
      <c r="L9" t="s">
        <v>12</v>
      </c>
      <c r="M9" t="s">
        <v>13</v>
      </c>
      <c r="N9" t="s">
        <v>14</v>
      </c>
      <c r="O9" t="s">
        <v>15</v>
      </c>
    </row>
    <row r="10" spans="1:17" x14ac:dyDescent="0.25">
      <c r="A10">
        <v>2</v>
      </c>
      <c r="B10">
        <v>1</v>
      </c>
      <c r="D10">
        <v>2</v>
      </c>
      <c r="E10">
        <v>1</v>
      </c>
      <c r="G10">
        <v>2</v>
      </c>
      <c r="H10">
        <v>1</v>
      </c>
      <c r="J10" t="s">
        <v>16</v>
      </c>
      <c r="K10" t="s">
        <v>36</v>
      </c>
      <c r="L10" t="s">
        <v>18</v>
      </c>
      <c r="M10" t="s">
        <v>19</v>
      </c>
      <c r="N10" t="s">
        <v>37</v>
      </c>
      <c r="O10" t="s">
        <v>38</v>
      </c>
    </row>
    <row r="11" spans="1:17" x14ac:dyDescent="0.25">
      <c r="A11">
        <v>3</v>
      </c>
      <c r="B11">
        <v>1</v>
      </c>
      <c r="D11">
        <v>3</v>
      </c>
      <c r="E11">
        <v>1</v>
      </c>
      <c r="G11">
        <v>3</v>
      </c>
      <c r="H11">
        <v>1</v>
      </c>
      <c r="J11" t="s">
        <v>22</v>
      </c>
      <c r="K11" t="s">
        <v>39</v>
      </c>
      <c r="L11" t="s">
        <v>18</v>
      </c>
      <c r="M11" t="s">
        <v>40</v>
      </c>
      <c r="N11" t="s">
        <v>41</v>
      </c>
      <c r="O11" t="s">
        <v>42</v>
      </c>
    </row>
    <row r="12" spans="1:17" x14ac:dyDescent="0.25">
      <c r="A12">
        <v>1</v>
      </c>
      <c r="B12">
        <v>1</v>
      </c>
      <c r="D12">
        <v>1</v>
      </c>
      <c r="E12">
        <v>2</v>
      </c>
      <c r="G12">
        <v>1</v>
      </c>
      <c r="H12">
        <v>2</v>
      </c>
      <c r="J12" t="s">
        <v>27</v>
      </c>
      <c r="K12" t="s">
        <v>43</v>
      </c>
      <c r="L12" t="s">
        <v>29</v>
      </c>
      <c r="M12" t="s">
        <v>44</v>
      </c>
      <c r="N12" t="s">
        <v>45</v>
      </c>
      <c r="O12" t="s">
        <v>46</v>
      </c>
    </row>
    <row r="13" spans="1:17" x14ac:dyDescent="0.25">
      <c r="A13">
        <v>2</v>
      </c>
      <c r="B13">
        <v>1</v>
      </c>
      <c r="D13">
        <v>2</v>
      </c>
      <c r="E13">
        <v>2</v>
      </c>
      <c r="G13">
        <v>2</v>
      </c>
      <c r="H13">
        <v>2</v>
      </c>
      <c r="J13" t="s">
        <v>47</v>
      </c>
      <c r="K13" t="s">
        <v>48</v>
      </c>
      <c r="L13" t="s">
        <v>35</v>
      </c>
      <c r="M13" t="s">
        <v>35</v>
      </c>
      <c r="N13" t="s">
        <v>35</v>
      </c>
      <c r="O13" t="s">
        <v>35</v>
      </c>
    </row>
    <row r="14" spans="1:17" x14ac:dyDescent="0.25">
      <c r="A14">
        <v>3</v>
      </c>
      <c r="B14">
        <v>1</v>
      </c>
      <c r="D14">
        <v>3</v>
      </c>
      <c r="E14">
        <v>2</v>
      </c>
      <c r="G14">
        <v>3</v>
      </c>
      <c r="H14">
        <v>2</v>
      </c>
    </row>
    <row r="15" spans="1:17" x14ac:dyDescent="0.25">
      <c r="A15">
        <v>1</v>
      </c>
      <c r="B15">
        <v>1</v>
      </c>
    </row>
    <row r="16" spans="1:17" x14ac:dyDescent="0.25">
      <c r="A16">
        <v>2</v>
      </c>
      <c r="B16">
        <v>1</v>
      </c>
      <c r="J16" t="s">
        <v>9</v>
      </c>
      <c r="K16" t="s">
        <v>10</v>
      </c>
      <c r="L16" t="s">
        <v>12</v>
      </c>
      <c r="M16" t="s">
        <v>13</v>
      </c>
      <c r="N16" t="s">
        <v>14</v>
      </c>
      <c r="O16" t="s">
        <v>15</v>
      </c>
    </row>
    <row r="17" spans="1:15" x14ac:dyDescent="0.25">
      <c r="A17">
        <v>3</v>
      </c>
      <c r="B17">
        <v>1</v>
      </c>
      <c r="J17" t="s">
        <v>16</v>
      </c>
      <c r="K17" t="s">
        <v>49</v>
      </c>
      <c r="L17" t="s">
        <v>18</v>
      </c>
      <c r="M17" t="s">
        <v>19</v>
      </c>
      <c r="N17" t="s">
        <v>50</v>
      </c>
      <c r="O17" t="s">
        <v>51</v>
      </c>
    </row>
    <row r="18" spans="1:15" x14ac:dyDescent="0.25">
      <c r="A18">
        <v>1</v>
      </c>
      <c r="B18">
        <v>1</v>
      </c>
      <c r="J18" t="s">
        <v>22</v>
      </c>
      <c r="K18" t="s">
        <v>52</v>
      </c>
      <c r="L18" t="s">
        <v>18</v>
      </c>
      <c r="M18" t="s">
        <v>40</v>
      </c>
      <c r="N18" t="s">
        <v>53</v>
      </c>
      <c r="O18" t="s">
        <v>54</v>
      </c>
    </row>
    <row r="19" spans="1:15" x14ac:dyDescent="0.25">
      <c r="A19">
        <v>2</v>
      </c>
      <c r="B19">
        <v>1</v>
      </c>
      <c r="J19" t="s">
        <v>27</v>
      </c>
      <c r="K19" t="s">
        <v>55</v>
      </c>
      <c r="L19" t="s">
        <v>29</v>
      </c>
      <c r="M19" t="s">
        <v>44</v>
      </c>
      <c r="N19" t="s">
        <v>56</v>
      </c>
      <c r="O19" t="s">
        <v>57</v>
      </c>
    </row>
    <row r="20" spans="1:15" x14ac:dyDescent="0.25">
      <c r="A20">
        <v>3</v>
      </c>
      <c r="B20">
        <v>1</v>
      </c>
      <c r="J20" t="s">
        <v>58</v>
      </c>
      <c r="K20" t="s">
        <v>59</v>
      </c>
      <c r="L20" t="s">
        <v>35</v>
      </c>
      <c r="M20" t="s">
        <v>35</v>
      </c>
      <c r="N20" t="s">
        <v>35</v>
      </c>
      <c r="O20" t="s">
        <v>35</v>
      </c>
    </row>
    <row r="21" spans="1:15" x14ac:dyDescent="0.25">
      <c r="A21">
        <v>1</v>
      </c>
      <c r="B21">
        <v>1</v>
      </c>
    </row>
    <row r="22" spans="1:15" x14ac:dyDescent="0.25">
      <c r="A22">
        <v>2</v>
      </c>
      <c r="B22">
        <v>1</v>
      </c>
      <c r="J22" t="s">
        <v>212</v>
      </c>
    </row>
    <row r="23" spans="1:15" x14ac:dyDescent="0.25">
      <c r="A23">
        <v>3</v>
      </c>
      <c r="B23">
        <v>1</v>
      </c>
      <c r="J23" s="51">
        <v>7</v>
      </c>
    </row>
    <row r="24" spans="1:15" x14ac:dyDescent="0.25">
      <c r="A24">
        <v>1</v>
      </c>
      <c r="B24">
        <v>2</v>
      </c>
    </row>
    <row r="25" spans="1:15" x14ac:dyDescent="0.25">
      <c r="A25">
        <v>2</v>
      </c>
      <c r="B25">
        <v>2</v>
      </c>
    </row>
    <row r="26" spans="1:15" x14ac:dyDescent="0.25">
      <c r="A26">
        <v>3</v>
      </c>
      <c r="B26">
        <v>2</v>
      </c>
    </row>
  </sheetData>
  <mergeCells count="6">
    <mergeCell ref="P1:Q1"/>
    <mergeCell ref="A1:B1"/>
    <mergeCell ref="D1:E1"/>
    <mergeCell ref="G1:H1"/>
    <mergeCell ref="J1:K1"/>
    <mergeCell ref="M1:N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BBBDC-1F3A-456D-ADA9-4C08B0A35E72}">
  <sheetPr codeName="Planilha9"/>
  <dimension ref="A1:O21"/>
  <sheetViews>
    <sheetView topLeftCell="A10" workbookViewId="0">
      <selection activeCell="J21" sqref="J21"/>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16" bestFit="1" customWidth="1"/>
    <col min="11" max="11" width="81.140625" bestFit="1" customWidth="1"/>
    <col min="12" max="12" width="11.28515625" bestFit="1" customWidth="1"/>
    <col min="13" max="13" width="48.140625" bestFit="1" customWidth="1"/>
    <col min="14" max="15" width="81.140625" bestFit="1" customWidth="1"/>
  </cols>
  <sheetData>
    <row r="1" spans="1:15" x14ac:dyDescent="0.25">
      <c r="A1" s="50" t="s">
        <v>60</v>
      </c>
      <c r="B1" s="50"/>
      <c r="D1" s="50" t="s">
        <v>61</v>
      </c>
      <c r="E1" s="50"/>
      <c r="G1" s="50" t="s">
        <v>62</v>
      </c>
      <c r="H1" s="50"/>
    </row>
    <row r="2" spans="1:15" x14ac:dyDescent="0.25">
      <c r="A2" t="s">
        <v>11</v>
      </c>
      <c r="B2" t="s">
        <v>4</v>
      </c>
      <c r="D2" t="s">
        <v>11</v>
      </c>
      <c r="E2" t="s">
        <v>4</v>
      </c>
      <c r="G2" t="s">
        <v>11</v>
      </c>
      <c r="H2" t="s">
        <v>4</v>
      </c>
      <c r="J2" t="s">
        <v>9</v>
      </c>
      <c r="K2" t="s">
        <v>10</v>
      </c>
      <c r="L2" t="s">
        <v>12</v>
      </c>
      <c r="M2" t="s">
        <v>13</v>
      </c>
      <c r="N2" t="s">
        <v>14</v>
      </c>
      <c r="O2" t="s">
        <v>15</v>
      </c>
    </row>
    <row r="3" spans="1:15" x14ac:dyDescent="0.25">
      <c r="A3">
        <v>1</v>
      </c>
      <c r="B3">
        <v>1</v>
      </c>
      <c r="D3">
        <v>1</v>
      </c>
      <c r="E3">
        <v>1</v>
      </c>
      <c r="G3">
        <v>1</v>
      </c>
      <c r="H3">
        <v>1</v>
      </c>
      <c r="J3" t="s">
        <v>16</v>
      </c>
      <c r="K3" t="s">
        <v>63</v>
      </c>
      <c r="L3" t="s">
        <v>18</v>
      </c>
      <c r="M3" t="s">
        <v>19</v>
      </c>
      <c r="N3" t="s">
        <v>64</v>
      </c>
      <c r="O3" t="s">
        <v>65</v>
      </c>
    </row>
    <row r="4" spans="1:15" x14ac:dyDescent="0.25">
      <c r="A4">
        <v>2</v>
      </c>
      <c r="B4">
        <v>1</v>
      </c>
      <c r="D4">
        <v>2</v>
      </c>
      <c r="E4">
        <v>1</v>
      </c>
      <c r="G4">
        <v>2</v>
      </c>
      <c r="H4">
        <v>1</v>
      </c>
      <c r="J4" t="s">
        <v>22</v>
      </c>
      <c r="K4" t="s">
        <v>66</v>
      </c>
      <c r="L4" t="s">
        <v>18</v>
      </c>
      <c r="M4" t="s">
        <v>67</v>
      </c>
      <c r="N4" t="s">
        <v>68</v>
      </c>
      <c r="O4" t="s">
        <v>69</v>
      </c>
    </row>
    <row r="5" spans="1:15" x14ac:dyDescent="0.25">
      <c r="A5">
        <v>3</v>
      </c>
      <c r="B5">
        <v>1</v>
      </c>
      <c r="D5">
        <v>3</v>
      </c>
      <c r="E5">
        <v>1</v>
      </c>
      <c r="G5">
        <v>3</v>
      </c>
      <c r="H5">
        <v>1</v>
      </c>
      <c r="J5" t="s">
        <v>27</v>
      </c>
      <c r="K5" t="s">
        <v>70</v>
      </c>
      <c r="L5" t="s">
        <v>71</v>
      </c>
      <c r="M5" t="s">
        <v>72</v>
      </c>
      <c r="N5" t="s">
        <v>73</v>
      </c>
      <c r="O5" t="s">
        <v>74</v>
      </c>
    </row>
    <row r="6" spans="1:15" x14ac:dyDescent="0.25">
      <c r="A6">
        <v>1</v>
      </c>
      <c r="B6">
        <v>1</v>
      </c>
      <c r="G6">
        <v>1</v>
      </c>
      <c r="H6">
        <v>1</v>
      </c>
      <c r="J6" t="s">
        <v>60</v>
      </c>
      <c r="K6" t="s">
        <v>75</v>
      </c>
      <c r="L6" t="s">
        <v>35</v>
      </c>
      <c r="M6" t="s">
        <v>35</v>
      </c>
      <c r="N6" t="s">
        <v>35</v>
      </c>
      <c r="O6" t="s">
        <v>35</v>
      </c>
    </row>
    <row r="7" spans="1:15" x14ac:dyDescent="0.25">
      <c r="A7">
        <v>2</v>
      </c>
      <c r="B7">
        <v>2</v>
      </c>
      <c r="G7">
        <v>2</v>
      </c>
      <c r="H7">
        <v>2</v>
      </c>
    </row>
    <row r="8" spans="1:15" x14ac:dyDescent="0.25">
      <c r="A8">
        <v>3</v>
      </c>
      <c r="B8">
        <v>1</v>
      </c>
      <c r="G8">
        <v>3</v>
      </c>
      <c r="H8">
        <v>2</v>
      </c>
      <c r="J8" t="s">
        <v>9</v>
      </c>
      <c r="K8" t="s">
        <v>10</v>
      </c>
      <c r="L8" t="s">
        <v>12</v>
      </c>
      <c r="M8" t="s">
        <v>13</v>
      </c>
      <c r="N8" t="s">
        <v>14</v>
      </c>
      <c r="O8" t="s">
        <v>15</v>
      </c>
    </row>
    <row r="9" spans="1:15" x14ac:dyDescent="0.25">
      <c r="A9">
        <v>1</v>
      </c>
      <c r="B9">
        <v>2</v>
      </c>
      <c r="G9">
        <v>1</v>
      </c>
      <c r="H9">
        <v>1</v>
      </c>
      <c r="J9" t="s">
        <v>16</v>
      </c>
      <c r="K9" t="s">
        <v>76</v>
      </c>
      <c r="L9" t="s">
        <v>18</v>
      </c>
      <c r="M9" t="s">
        <v>77</v>
      </c>
      <c r="N9" t="s">
        <v>78</v>
      </c>
      <c r="O9" t="s">
        <v>79</v>
      </c>
    </row>
    <row r="10" spans="1:15" x14ac:dyDescent="0.25">
      <c r="A10">
        <v>2</v>
      </c>
      <c r="B10">
        <v>2</v>
      </c>
      <c r="G10">
        <v>2</v>
      </c>
      <c r="H10">
        <v>1</v>
      </c>
      <c r="J10" t="s">
        <v>22</v>
      </c>
      <c r="K10" t="s">
        <v>80</v>
      </c>
      <c r="L10" t="s">
        <v>18</v>
      </c>
      <c r="M10" t="s">
        <v>81</v>
      </c>
      <c r="N10" t="s">
        <v>82</v>
      </c>
      <c r="O10" t="s">
        <v>83</v>
      </c>
    </row>
    <row r="11" spans="1:15" x14ac:dyDescent="0.25">
      <c r="A11">
        <v>3</v>
      </c>
      <c r="B11">
        <v>2</v>
      </c>
      <c r="G11">
        <v>3</v>
      </c>
      <c r="H11">
        <v>1</v>
      </c>
      <c r="J11" t="s">
        <v>27</v>
      </c>
      <c r="K11" t="s">
        <v>84</v>
      </c>
      <c r="L11" t="s">
        <v>71</v>
      </c>
      <c r="M11" t="s">
        <v>72</v>
      </c>
      <c r="N11" t="s">
        <v>85</v>
      </c>
      <c r="O11" t="s">
        <v>86</v>
      </c>
    </row>
    <row r="12" spans="1:15" x14ac:dyDescent="0.25">
      <c r="A12">
        <v>1</v>
      </c>
      <c r="B12">
        <v>1</v>
      </c>
      <c r="J12" t="s">
        <v>61</v>
      </c>
      <c r="K12" t="s">
        <v>87</v>
      </c>
      <c r="L12" t="s">
        <v>35</v>
      </c>
      <c r="M12" t="s">
        <v>35</v>
      </c>
      <c r="N12" t="s">
        <v>35</v>
      </c>
      <c r="O12" t="s">
        <v>35</v>
      </c>
    </row>
    <row r="13" spans="1:15" x14ac:dyDescent="0.25">
      <c r="A13">
        <v>2</v>
      </c>
      <c r="B13">
        <v>2</v>
      </c>
    </row>
    <row r="14" spans="1:15" x14ac:dyDescent="0.25">
      <c r="A14">
        <v>3</v>
      </c>
      <c r="B14">
        <v>1</v>
      </c>
      <c r="J14" t="s">
        <v>9</v>
      </c>
      <c r="K14" t="s">
        <v>10</v>
      </c>
      <c r="L14" t="s">
        <v>12</v>
      </c>
      <c r="M14" t="s">
        <v>13</v>
      </c>
      <c r="N14" t="s">
        <v>14</v>
      </c>
      <c r="O14" t="s">
        <v>15</v>
      </c>
    </row>
    <row r="15" spans="1:15" x14ac:dyDescent="0.25">
      <c r="J15" t="s">
        <v>16</v>
      </c>
      <c r="K15" t="s">
        <v>88</v>
      </c>
      <c r="L15" t="s">
        <v>18</v>
      </c>
      <c r="M15" t="s">
        <v>19</v>
      </c>
      <c r="N15" t="s">
        <v>89</v>
      </c>
      <c r="O15" t="s">
        <v>90</v>
      </c>
    </row>
    <row r="16" spans="1:15" x14ac:dyDescent="0.25">
      <c r="J16" t="s">
        <v>22</v>
      </c>
      <c r="K16" t="s">
        <v>91</v>
      </c>
      <c r="L16" t="s">
        <v>18</v>
      </c>
      <c r="M16" t="s">
        <v>67</v>
      </c>
      <c r="N16" t="s">
        <v>92</v>
      </c>
      <c r="O16" t="s">
        <v>93</v>
      </c>
    </row>
    <row r="17" spans="10:15" x14ac:dyDescent="0.25">
      <c r="J17" t="s">
        <v>27</v>
      </c>
      <c r="K17" t="s">
        <v>94</v>
      </c>
      <c r="L17" t="s">
        <v>29</v>
      </c>
      <c r="M17" t="s">
        <v>44</v>
      </c>
      <c r="N17" t="s">
        <v>95</v>
      </c>
      <c r="O17" t="s">
        <v>96</v>
      </c>
    </row>
    <row r="18" spans="10:15" x14ac:dyDescent="0.25">
      <c r="J18" t="s">
        <v>97</v>
      </c>
      <c r="K18" t="s">
        <v>98</v>
      </c>
      <c r="L18" t="s">
        <v>35</v>
      </c>
      <c r="M18" t="s">
        <v>35</v>
      </c>
      <c r="N18" t="s">
        <v>35</v>
      </c>
      <c r="O18" t="s">
        <v>35</v>
      </c>
    </row>
    <row r="20" spans="10:15" x14ac:dyDescent="0.25">
      <c r="J20" t="s">
        <v>100</v>
      </c>
    </row>
    <row r="21" spans="10:15" x14ac:dyDescent="0.25">
      <c r="J21" s="51">
        <v>1</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063B-D9DB-4BFD-850A-F3C078C1ECF9}">
  <sheetPr codeName="Planilha10"/>
  <dimension ref="A1:Q26"/>
  <sheetViews>
    <sheetView topLeftCell="A8" workbookViewId="0">
      <selection activeCell="J21" sqref="J21"/>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22.28515625" bestFit="1" customWidth="1"/>
    <col min="11" max="11" width="81.140625" bestFit="1" customWidth="1"/>
    <col min="12" max="12" width="11.140625" bestFit="1" customWidth="1"/>
    <col min="13" max="13" width="19.28515625" bestFit="1" customWidth="1"/>
    <col min="14" max="15" width="81.140625" bestFit="1" customWidth="1"/>
    <col min="16" max="17" width="11.140625" bestFit="1" customWidth="1"/>
  </cols>
  <sheetData>
    <row r="1" spans="1:17" x14ac:dyDescent="0.25">
      <c r="A1" s="50" t="s">
        <v>104</v>
      </c>
      <c r="B1" s="50"/>
      <c r="D1" s="50" t="s">
        <v>105</v>
      </c>
      <c r="E1" s="50"/>
      <c r="G1" s="50" t="s">
        <v>106</v>
      </c>
      <c r="H1" s="50"/>
    </row>
    <row r="2" spans="1:17" x14ac:dyDescent="0.25">
      <c r="A2" t="s">
        <v>11</v>
      </c>
      <c r="B2" t="s">
        <v>4</v>
      </c>
      <c r="D2" t="s">
        <v>11</v>
      </c>
      <c r="E2" t="s">
        <v>4</v>
      </c>
      <c r="G2" t="s">
        <v>11</v>
      </c>
      <c r="H2" t="s">
        <v>4</v>
      </c>
      <c r="J2" t="s">
        <v>9</v>
      </c>
      <c r="K2" t="s">
        <v>10</v>
      </c>
      <c r="L2" t="s">
        <v>12</v>
      </c>
      <c r="M2" t="s">
        <v>13</v>
      </c>
      <c r="N2" t="s">
        <v>14</v>
      </c>
      <c r="O2" t="s">
        <v>15</v>
      </c>
      <c r="P2" t="s">
        <v>107</v>
      </c>
      <c r="Q2" t="s">
        <v>108</v>
      </c>
    </row>
    <row r="3" spans="1:17" x14ac:dyDescent="0.25">
      <c r="A3">
        <v>1</v>
      </c>
      <c r="B3">
        <v>1</v>
      </c>
      <c r="D3">
        <v>1</v>
      </c>
      <c r="E3">
        <v>1</v>
      </c>
      <c r="G3">
        <v>1</v>
      </c>
      <c r="H3">
        <v>1</v>
      </c>
      <c r="J3" t="s">
        <v>16</v>
      </c>
      <c r="K3" t="s">
        <v>109</v>
      </c>
      <c r="L3" t="s">
        <v>18</v>
      </c>
      <c r="M3" t="s">
        <v>19</v>
      </c>
      <c r="N3" t="s">
        <v>110</v>
      </c>
      <c r="O3" t="s">
        <v>111</v>
      </c>
      <c r="P3" t="s">
        <v>35</v>
      </c>
      <c r="Q3" t="s">
        <v>35</v>
      </c>
    </row>
    <row r="4" spans="1:17" x14ac:dyDescent="0.25">
      <c r="A4">
        <v>2</v>
      </c>
      <c r="B4">
        <v>1</v>
      </c>
      <c r="D4">
        <v>2</v>
      </c>
      <c r="E4">
        <v>1</v>
      </c>
      <c r="G4">
        <v>2</v>
      </c>
      <c r="H4">
        <v>1</v>
      </c>
      <c r="J4" t="s">
        <v>22</v>
      </c>
      <c r="K4" t="s">
        <v>112</v>
      </c>
      <c r="L4" t="s">
        <v>18</v>
      </c>
      <c r="M4" t="s">
        <v>113</v>
      </c>
      <c r="N4" t="s">
        <v>114</v>
      </c>
      <c r="O4" t="s">
        <v>115</v>
      </c>
      <c r="P4" t="s">
        <v>35</v>
      </c>
      <c r="Q4" t="s">
        <v>35</v>
      </c>
    </row>
    <row r="5" spans="1:17" x14ac:dyDescent="0.25">
      <c r="A5">
        <v>3</v>
      </c>
      <c r="B5">
        <v>1</v>
      </c>
      <c r="D5">
        <v>3</v>
      </c>
      <c r="E5">
        <v>1</v>
      </c>
      <c r="G5">
        <v>3</v>
      </c>
      <c r="H5">
        <v>1</v>
      </c>
      <c r="J5" t="s">
        <v>27</v>
      </c>
      <c r="K5" t="s">
        <v>116</v>
      </c>
      <c r="L5" t="s">
        <v>29</v>
      </c>
      <c r="M5" t="s">
        <v>117</v>
      </c>
      <c r="N5" t="s">
        <v>118</v>
      </c>
      <c r="O5" t="s">
        <v>119</v>
      </c>
      <c r="P5" t="s">
        <v>35</v>
      </c>
      <c r="Q5" t="s">
        <v>35</v>
      </c>
    </row>
    <row r="6" spans="1:17" x14ac:dyDescent="0.25">
      <c r="A6">
        <v>1</v>
      </c>
      <c r="B6">
        <v>2</v>
      </c>
      <c r="D6">
        <v>1</v>
      </c>
      <c r="E6">
        <v>2</v>
      </c>
      <c r="G6">
        <v>1</v>
      </c>
      <c r="H6">
        <v>1</v>
      </c>
      <c r="J6" t="s">
        <v>120</v>
      </c>
      <c r="K6" t="s">
        <v>121</v>
      </c>
      <c r="L6" t="s">
        <v>35</v>
      </c>
      <c r="M6" t="s">
        <v>35</v>
      </c>
      <c r="N6" t="s">
        <v>35</v>
      </c>
      <c r="O6" t="s">
        <v>35</v>
      </c>
      <c r="P6" t="s">
        <v>35</v>
      </c>
      <c r="Q6" t="s">
        <v>35</v>
      </c>
    </row>
    <row r="7" spans="1:17" x14ac:dyDescent="0.25">
      <c r="A7">
        <v>2</v>
      </c>
      <c r="B7">
        <v>1</v>
      </c>
      <c r="D7">
        <v>2</v>
      </c>
      <c r="E7">
        <v>1</v>
      </c>
      <c r="G7">
        <v>2</v>
      </c>
      <c r="H7">
        <v>2</v>
      </c>
    </row>
    <row r="8" spans="1:17" x14ac:dyDescent="0.25">
      <c r="A8">
        <v>3</v>
      </c>
      <c r="B8">
        <v>2</v>
      </c>
      <c r="D8">
        <v>3</v>
      </c>
      <c r="E8">
        <v>2</v>
      </c>
      <c r="G8">
        <v>3</v>
      </c>
      <c r="H8">
        <v>2</v>
      </c>
      <c r="J8" t="s">
        <v>9</v>
      </c>
      <c r="K8" t="s">
        <v>10</v>
      </c>
      <c r="L8" t="s">
        <v>12</v>
      </c>
      <c r="M8" t="s">
        <v>13</v>
      </c>
      <c r="N8" t="s">
        <v>14</v>
      </c>
      <c r="O8" t="s">
        <v>15</v>
      </c>
      <c r="P8" t="s">
        <v>107</v>
      </c>
      <c r="Q8" t="s">
        <v>108</v>
      </c>
    </row>
    <row r="9" spans="1:17" x14ac:dyDescent="0.25">
      <c r="A9">
        <v>1</v>
      </c>
      <c r="B9">
        <v>2</v>
      </c>
      <c r="D9">
        <v>1</v>
      </c>
      <c r="E9">
        <v>1</v>
      </c>
      <c r="G9">
        <v>1</v>
      </c>
      <c r="H9">
        <v>1</v>
      </c>
      <c r="J9" t="s">
        <v>16</v>
      </c>
      <c r="K9" t="s">
        <v>122</v>
      </c>
      <c r="L9" t="s">
        <v>18</v>
      </c>
      <c r="M9" t="s">
        <v>19</v>
      </c>
      <c r="N9" t="s">
        <v>123</v>
      </c>
      <c r="O9" t="s">
        <v>124</v>
      </c>
      <c r="P9" t="s">
        <v>35</v>
      </c>
      <c r="Q9" t="s">
        <v>35</v>
      </c>
    </row>
    <row r="10" spans="1:17" x14ac:dyDescent="0.25">
      <c r="A10">
        <v>2</v>
      </c>
      <c r="B10">
        <v>2</v>
      </c>
      <c r="D10">
        <v>2</v>
      </c>
      <c r="E10">
        <v>1</v>
      </c>
      <c r="G10">
        <v>2</v>
      </c>
      <c r="H10">
        <v>1</v>
      </c>
      <c r="J10" t="s">
        <v>22</v>
      </c>
      <c r="K10" t="s">
        <v>125</v>
      </c>
      <c r="L10" t="s">
        <v>18</v>
      </c>
      <c r="M10" t="s">
        <v>113</v>
      </c>
      <c r="N10" t="s">
        <v>126</v>
      </c>
      <c r="O10" t="s">
        <v>127</v>
      </c>
      <c r="P10" t="s">
        <v>35</v>
      </c>
      <c r="Q10" t="s">
        <v>35</v>
      </c>
    </row>
    <row r="11" spans="1:17" x14ac:dyDescent="0.25">
      <c r="A11">
        <v>3</v>
      </c>
      <c r="B11">
        <v>2</v>
      </c>
      <c r="D11">
        <v>3</v>
      </c>
      <c r="E11">
        <v>1</v>
      </c>
      <c r="G11">
        <v>3</v>
      </c>
      <c r="H11">
        <v>1</v>
      </c>
      <c r="J11" t="s">
        <v>27</v>
      </c>
      <c r="K11" t="s">
        <v>128</v>
      </c>
      <c r="L11" t="s">
        <v>29</v>
      </c>
      <c r="M11" t="s">
        <v>117</v>
      </c>
      <c r="N11" t="s">
        <v>129</v>
      </c>
      <c r="O11" t="s">
        <v>130</v>
      </c>
      <c r="P11" t="s">
        <v>35</v>
      </c>
      <c r="Q11" t="s">
        <v>35</v>
      </c>
    </row>
    <row r="12" spans="1:17" x14ac:dyDescent="0.25">
      <c r="A12">
        <v>1</v>
      </c>
      <c r="B12">
        <v>2</v>
      </c>
      <c r="D12">
        <v>1</v>
      </c>
      <c r="E12">
        <v>2</v>
      </c>
      <c r="G12">
        <v>1</v>
      </c>
      <c r="H12">
        <v>1</v>
      </c>
      <c r="J12" t="s">
        <v>131</v>
      </c>
      <c r="K12" t="s">
        <v>132</v>
      </c>
      <c r="L12" t="s">
        <v>35</v>
      </c>
      <c r="M12" t="s">
        <v>35</v>
      </c>
      <c r="N12" t="s">
        <v>35</v>
      </c>
      <c r="O12" t="s">
        <v>35</v>
      </c>
      <c r="P12" t="s">
        <v>35</v>
      </c>
      <c r="Q12" t="s">
        <v>35</v>
      </c>
    </row>
    <row r="13" spans="1:17" x14ac:dyDescent="0.25">
      <c r="A13">
        <v>2</v>
      </c>
      <c r="B13">
        <v>1</v>
      </c>
      <c r="D13">
        <v>2</v>
      </c>
      <c r="E13">
        <v>2</v>
      </c>
      <c r="G13">
        <v>2</v>
      </c>
      <c r="H13">
        <v>1</v>
      </c>
    </row>
    <row r="14" spans="1:17" x14ac:dyDescent="0.25">
      <c r="A14">
        <v>3</v>
      </c>
      <c r="B14">
        <v>2</v>
      </c>
      <c r="D14">
        <v>3</v>
      </c>
      <c r="E14">
        <v>2</v>
      </c>
      <c r="G14">
        <v>3</v>
      </c>
      <c r="H14">
        <v>1</v>
      </c>
      <c r="J14" t="s">
        <v>9</v>
      </c>
      <c r="K14" t="s">
        <v>10</v>
      </c>
      <c r="L14" t="s">
        <v>12</v>
      </c>
      <c r="M14" t="s">
        <v>13</v>
      </c>
      <c r="N14" t="s">
        <v>14</v>
      </c>
      <c r="O14" t="s">
        <v>15</v>
      </c>
      <c r="P14" t="s">
        <v>107</v>
      </c>
      <c r="Q14" t="s">
        <v>108</v>
      </c>
    </row>
    <row r="15" spans="1:17" x14ac:dyDescent="0.25">
      <c r="A15">
        <v>1</v>
      </c>
      <c r="B15">
        <v>1</v>
      </c>
      <c r="D15">
        <v>1</v>
      </c>
      <c r="E15">
        <v>1</v>
      </c>
      <c r="J15" t="s">
        <v>16</v>
      </c>
      <c r="K15" t="s">
        <v>133</v>
      </c>
      <c r="L15" t="s">
        <v>18</v>
      </c>
      <c r="M15" t="s">
        <v>19</v>
      </c>
      <c r="N15" t="s">
        <v>134</v>
      </c>
      <c r="O15" t="s">
        <v>135</v>
      </c>
      <c r="P15" t="s">
        <v>35</v>
      </c>
      <c r="Q15" t="s">
        <v>35</v>
      </c>
    </row>
    <row r="16" spans="1:17" x14ac:dyDescent="0.25">
      <c r="A16">
        <v>2</v>
      </c>
      <c r="B16">
        <v>2</v>
      </c>
      <c r="D16">
        <v>2</v>
      </c>
      <c r="E16">
        <v>1</v>
      </c>
      <c r="J16" t="s">
        <v>22</v>
      </c>
      <c r="K16" t="s">
        <v>136</v>
      </c>
      <c r="L16" t="s">
        <v>18</v>
      </c>
      <c r="M16" t="s">
        <v>113</v>
      </c>
      <c r="N16" t="s">
        <v>137</v>
      </c>
      <c r="O16" t="s">
        <v>138</v>
      </c>
      <c r="P16" t="s">
        <v>35</v>
      </c>
      <c r="Q16" t="s">
        <v>35</v>
      </c>
    </row>
    <row r="17" spans="1:17" x14ac:dyDescent="0.25">
      <c r="A17">
        <v>3</v>
      </c>
      <c r="B17">
        <v>1</v>
      </c>
      <c r="D17">
        <v>3</v>
      </c>
      <c r="E17">
        <v>1</v>
      </c>
      <c r="J17" t="s">
        <v>27</v>
      </c>
      <c r="K17" t="s">
        <v>139</v>
      </c>
      <c r="L17" t="s">
        <v>29</v>
      </c>
      <c r="M17" t="s">
        <v>117</v>
      </c>
      <c r="N17" t="s">
        <v>140</v>
      </c>
      <c r="O17" t="s">
        <v>141</v>
      </c>
      <c r="P17" t="s">
        <v>35</v>
      </c>
      <c r="Q17" t="s">
        <v>35</v>
      </c>
    </row>
    <row r="18" spans="1:17" x14ac:dyDescent="0.25">
      <c r="A18">
        <v>1</v>
      </c>
      <c r="B18">
        <v>1</v>
      </c>
      <c r="D18">
        <v>1</v>
      </c>
      <c r="E18">
        <v>1</v>
      </c>
      <c r="J18" t="s">
        <v>142</v>
      </c>
      <c r="K18" t="s">
        <v>143</v>
      </c>
      <c r="L18" t="s">
        <v>35</v>
      </c>
      <c r="M18" t="s">
        <v>35</v>
      </c>
      <c r="N18" t="s">
        <v>35</v>
      </c>
      <c r="O18" t="s">
        <v>35</v>
      </c>
      <c r="P18" t="s">
        <v>35</v>
      </c>
      <c r="Q18" t="s">
        <v>35</v>
      </c>
    </row>
    <row r="19" spans="1:17" x14ac:dyDescent="0.25">
      <c r="A19">
        <v>2</v>
      </c>
      <c r="B19">
        <v>2</v>
      </c>
      <c r="D19">
        <v>2</v>
      </c>
      <c r="E19">
        <v>1</v>
      </c>
    </row>
    <row r="20" spans="1:17" x14ac:dyDescent="0.25">
      <c r="A20">
        <v>3</v>
      </c>
      <c r="B20">
        <v>2</v>
      </c>
      <c r="D20">
        <v>3</v>
      </c>
      <c r="E20">
        <v>1</v>
      </c>
      <c r="J20" t="s">
        <v>144</v>
      </c>
    </row>
    <row r="21" spans="1:17" x14ac:dyDescent="0.25">
      <c r="A21">
        <v>1</v>
      </c>
      <c r="B21">
        <v>1</v>
      </c>
      <c r="J21" s="51">
        <v>1</v>
      </c>
    </row>
    <row r="22" spans="1:17" x14ac:dyDescent="0.25">
      <c r="A22">
        <v>2</v>
      </c>
      <c r="B22">
        <v>2</v>
      </c>
    </row>
    <row r="23" spans="1:17" x14ac:dyDescent="0.25">
      <c r="A23">
        <v>3</v>
      </c>
      <c r="B23">
        <v>2</v>
      </c>
    </row>
    <row r="24" spans="1:17" x14ac:dyDescent="0.25">
      <c r="A24">
        <v>1</v>
      </c>
      <c r="B24">
        <v>1</v>
      </c>
    </row>
    <row r="25" spans="1:17" x14ac:dyDescent="0.25">
      <c r="A25">
        <v>2</v>
      </c>
      <c r="B25">
        <v>2</v>
      </c>
    </row>
    <row r="26" spans="1:17" x14ac:dyDescent="0.25">
      <c r="A26">
        <v>3</v>
      </c>
      <c r="B26">
        <v>2</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8EAF4-3260-4E93-B594-B0A5161060EF}">
  <sheetPr codeName="Planilha11"/>
  <dimension ref="A1:O21"/>
  <sheetViews>
    <sheetView topLeftCell="A10" workbookViewId="0">
      <selection activeCell="J21" sqref="J21"/>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11.140625" bestFit="1" customWidth="1"/>
    <col min="11" max="11" width="81.140625" bestFit="1" customWidth="1"/>
    <col min="12" max="12" width="11.140625" bestFit="1" customWidth="1"/>
    <col min="13" max="13" width="32.5703125" bestFit="1" customWidth="1"/>
    <col min="14" max="15" width="81.140625" bestFit="1" customWidth="1"/>
  </cols>
  <sheetData>
    <row r="1" spans="1:15" x14ac:dyDescent="0.25">
      <c r="A1" s="50" t="s">
        <v>145</v>
      </c>
      <c r="B1" s="50"/>
      <c r="D1" s="50" t="s">
        <v>146</v>
      </c>
      <c r="E1" s="50"/>
      <c r="G1" s="50" t="s">
        <v>147</v>
      </c>
      <c r="H1" s="50"/>
    </row>
    <row r="2" spans="1:15" x14ac:dyDescent="0.25">
      <c r="A2" t="s">
        <v>11</v>
      </c>
      <c r="B2" t="s">
        <v>4</v>
      </c>
      <c r="D2" t="s">
        <v>11</v>
      </c>
      <c r="E2" t="s">
        <v>4</v>
      </c>
      <c r="G2" t="s">
        <v>11</v>
      </c>
      <c r="H2" t="s">
        <v>4</v>
      </c>
      <c r="J2" t="s">
        <v>9</v>
      </c>
      <c r="K2" t="s">
        <v>10</v>
      </c>
      <c r="L2" t="s">
        <v>12</v>
      </c>
      <c r="M2" t="s">
        <v>13</v>
      </c>
      <c r="N2" t="s">
        <v>14</v>
      </c>
      <c r="O2" t="s">
        <v>15</v>
      </c>
    </row>
    <row r="3" spans="1:15" x14ac:dyDescent="0.25">
      <c r="A3">
        <v>1</v>
      </c>
      <c r="B3">
        <v>1</v>
      </c>
      <c r="D3">
        <v>1</v>
      </c>
      <c r="E3">
        <v>2</v>
      </c>
      <c r="G3">
        <v>1</v>
      </c>
      <c r="H3">
        <v>1</v>
      </c>
      <c r="J3" t="s">
        <v>16</v>
      </c>
      <c r="K3" t="s">
        <v>148</v>
      </c>
      <c r="L3" t="s">
        <v>18</v>
      </c>
      <c r="M3" t="s">
        <v>19</v>
      </c>
      <c r="N3" t="s">
        <v>149</v>
      </c>
      <c r="O3" t="s">
        <v>150</v>
      </c>
    </row>
    <row r="4" spans="1:15" x14ac:dyDescent="0.25">
      <c r="A4">
        <v>2</v>
      </c>
      <c r="B4">
        <v>1</v>
      </c>
      <c r="D4">
        <v>2</v>
      </c>
      <c r="E4">
        <v>2</v>
      </c>
      <c r="G4">
        <v>2</v>
      </c>
      <c r="H4">
        <v>1</v>
      </c>
      <c r="J4" t="s">
        <v>22</v>
      </c>
      <c r="K4" t="s">
        <v>151</v>
      </c>
      <c r="L4" t="s">
        <v>18</v>
      </c>
      <c r="M4" t="s">
        <v>67</v>
      </c>
      <c r="N4" t="s">
        <v>152</v>
      </c>
      <c r="O4" t="s">
        <v>93</v>
      </c>
    </row>
    <row r="5" spans="1:15" x14ac:dyDescent="0.25">
      <c r="A5">
        <v>3</v>
      </c>
      <c r="B5">
        <v>1</v>
      </c>
      <c r="D5">
        <v>3</v>
      </c>
      <c r="E5">
        <v>2</v>
      </c>
      <c r="G5">
        <v>3</v>
      </c>
      <c r="H5">
        <v>1</v>
      </c>
      <c r="J5" t="s">
        <v>27</v>
      </c>
      <c r="K5" t="s">
        <v>153</v>
      </c>
      <c r="L5" t="s">
        <v>29</v>
      </c>
      <c r="M5" t="s">
        <v>44</v>
      </c>
      <c r="N5" t="s">
        <v>154</v>
      </c>
      <c r="O5" t="s">
        <v>35</v>
      </c>
    </row>
    <row r="6" spans="1:15" x14ac:dyDescent="0.25">
      <c r="J6" t="s">
        <v>155</v>
      </c>
      <c r="K6" t="s">
        <v>156</v>
      </c>
      <c r="L6" t="s">
        <v>35</v>
      </c>
      <c r="M6" t="s">
        <v>35</v>
      </c>
      <c r="N6" t="s">
        <v>35</v>
      </c>
      <c r="O6" t="s">
        <v>35</v>
      </c>
    </row>
    <row r="8" spans="1:15" x14ac:dyDescent="0.25">
      <c r="J8" t="s">
        <v>9</v>
      </c>
      <c r="K8" t="s">
        <v>10</v>
      </c>
      <c r="L8" t="s">
        <v>12</v>
      </c>
      <c r="M8" t="s">
        <v>13</v>
      </c>
      <c r="N8" t="s">
        <v>14</v>
      </c>
      <c r="O8" t="s">
        <v>15</v>
      </c>
    </row>
    <row r="9" spans="1:15" x14ac:dyDescent="0.25">
      <c r="J9" t="s">
        <v>16</v>
      </c>
      <c r="K9" t="s">
        <v>157</v>
      </c>
      <c r="L9" t="s">
        <v>18</v>
      </c>
      <c r="M9" t="s">
        <v>19</v>
      </c>
      <c r="N9" t="s">
        <v>158</v>
      </c>
      <c r="O9" t="s">
        <v>159</v>
      </c>
    </row>
    <row r="10" spans="1:15" x14ac:dyDescent="0.25">
      <c r="J10" t="s">
        <v>22</v>
      </c>
      <c r="K10" t="s">
        <v>160</v>
      </c>
      <c r="L10" t="s">
        <v>18</v>
      </c>
      <c r="M10" t="s">
        <v>40</v>
      </c>
      <c r="N10" t="s">
        <v>161</v>
      </c>
      <c r="O10" t="s">
        <v>162</v>
      </c>
    </row>
    <row r="11" spans="1:15" x14ac:dyDescent="0.25">
      <c r="J11" t="s">
        <v>27</v>
      </c>
      <c r="K11" t="s">
        <v>163</v>
      </c>
      <c r="L11" t="s">
        <v>29</v>
      </c>
      <c r="M11" t="s">
        <v>44</v>
      </c>
      <c r="N11" t="s">
        <v>164</v>
      </c>
      <c r="O11" t="s">
        <v>165</v>
      </c>
    </row>
    <row r="12" spans="1:15" x14ac:dyDescent="0.25">
      <c r="J12" t="s">
        <v>166</v>
      </c>
      <c r="K12" t="s">
        <v>167</v>
      </c>
      <c r="L12" t="s">
        <v>35</v>
      </c>
      <c r="M12" t="s">
        <v>35</v>
      </c>
      <c r="N12" t="s">
        <v>35</v>
      </c>
      <c r="O12" t="s">
        <v>35</v>
      </c>
    </row>
    <row r="14" spans="1:15" x14ac:dyDescent="0.25">
      <c r="J14" t="s">
        <v>9</v>
      </c>
      <c r="K14" t="s">
        <v>10</v>
      </c>
      <c r="L14" t="s">
        <v>12</v>
      </c>
      <c r="M14" t="s">
        <v>13</v>
      </c>
      <c r="N14" t="s">
        <v>14</v>
      </c>
      <c r="O14" t="s">
        <v>15</v>
      </c>
    </row>
    <row r="15" spans="1:15" x14ac:dyDescent="0.25">
      <c r="J15" t="s">
        <v>16</v>
      </c>
      <c r="K15" t="s">
        <v>168</v>
      </c>
      <c r="L15" t="s">
        <v>18</v>
      </c>
      <c r="M15" t="s">
        <v>19</v>
      </c>
      <c r="N15" t="s">
        <v>169</v>
      </c>
      <c r="O15" t="s">
        <v>170</v>
      </c>
    </row>
    <row r="16" spans="1:15" x14ac:dyDescent="0.25">
      <c r="J16" t="s">
        <v>22</v>
      </c>
      <c r="K16" t="s">
        <v>171</v>
      </c>
      <c r="L16" t="s">
        <v>18</v>
      </c>
      <c r="M16" t="s">
        <v>40</v>
      </c>
      <c r="N16" t="s">
        <v>172</v>
      </c>
      <c r="O16" t="s">
        <v>173</v>
      </c>
    </row>
    <row r="17" spans="10:15" x14ac:dyDescent="0.25">
      <c r="J17" t="s">
        <v>27</v>
      </c>
      <c r="K17" t="s">
        <v>174</v>
      </c>
      <c r="L17" t="s">
        <v>29</v>
      </c>
      <c r="M17" t="s">
        <v>44</v>
      </c>
      <c r="N17" t="s">
        <v>175</v>
      </c>
      <c r="O17" t="s">
        <v>176</v>
      </c>
    </row>
    <row r="18" spans="10:15" x14ac:dyDescent="0.25">
      <c r="J18" t="s">
        <v>177</v>
      </c>
      <c r="K18" t="s">
        <v>178</v>
      </c>
      <c r="L18" t="s">
        <v>35</v>
      </c>
      <c r="M18" t="s">
        <v>35</v>
      </c>
      <c r="N18" t="s">
        <v>35</v>
      </c>
      <c r="O18" t="s">
        <v>35</v>
      </c>
    </row>
    <row r="20" spans="10:15" x14ac:dyDescent="0.25">
      <c r="J20" t="s">
        <v>211</v>
      </c>
    </row>
    <row r="21" spans="10:15" x14ac:dyDescent="0.25">
      <c r="J21" s="51">
        <v>1</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F1A-C2C0-4407-A9DF-DEFB714216B0}">
  <sheetPr codeName="Planilha12"/>
  <dimension ref="A1:Q21"/>
  <sheetViews>
    <sheetView topLeftCell="A10" workbookViewId="0">
      <selection activeCell="J21" sqref="J21"/>
    </sheetView>
  </sheetViews>
  <sheetFormatPr defaultRowHeight="15" x14ac:dyDescent="0.25"/>
  <cols>
    <col min="1" max="1" width="14.7109375" bestFit="1" customWidth="1"/>
    <col min="2" max="2" width="11.28515625" bestFit="1" customWidth="1"/>
    <col min="4" max="4" width="14.7109375" bestFit="1" customWidth="1"/>
    <col min="5" max="5" width="11.28515625" bestFit="1" customWidth="1"/>
    <col min="7" max="7" width="14.7109375" bestFit="1" customWidth="1"/>
    <col min="8" max="8" width="11.28515625" bestFit="1" customWidth="1"/>
    <col min="10" max="10" width="22" bestFit="1" customWidth="1"/>
    <col min="11" max="11" width="81.140625" bestFit="1" customWidth="1"/>
    <col min="12" max="12" width="11.28515625" bestFit="1" customWidth="1"/>
    <col min="13" max="13" width="19.42578125" bestFit="1" customWidth="1"/>
    <col min="14" max="15" width="81.140625" bestFit="1" customWidth="1"/>
    <col min="16" max="17" width="11.140625" bestFit="1" customWidth="1"/>
  </cols>
  <sheetData>
    <row r="1" spans="1:17" x14ac:dyDescent="0.25">
      <c r="A1" s="50" t="s">
        <v>179</v>
      </c>
      <c r="B1" s="50"/>
      <c r="D1" s="50" t="s">
        <v>180</v>
      </c>
      <c r="E1" s="50"/>
      <c r="G1" s="50" t="s">
        <v>181</v>
      </c>
      <c r="H1" s="50"/>
    </row>
    <row r="2" spans="1:17" x14ac:dyDescent="0.25">
      <c r="A2" t="s">
        <v>11</v>
      </c>
      <c r="B2" t="s">
        <v>4</v>
      </c>
      <c r="D2" t="s">
        <v>11</v>
      </c>
      <c r="E2" t="s">
        <v>4</v>
      </c>
      <c r="G2" t="s">
        <v>11</v>
      </c>
      <c r="H2" t="s">
        <v>4</v>
      </c>
      <c r="J2" t="s">
        <v>9</v>
      </c>
      <c r="K2" t="s">
        <v>10</v>
      </c>
      <c r="L2" t="s">
        <v>12</v>
      </c>
      <c r="M2" t="s">
        <v>13</v>
      </c>
      <c r="N2" t="s">
        <v>14</v>
      </c>
      <c r="O2" t="s">
        <v>15</v>
      </c>
      <c r="P2" t="s">
        <v>107</v>
      </c>
      <c r="Q2" t="s">
        <v>108</v>
      </c>
    </row>
    <row r="3" spans="1:17" x14ac:dyDescent="0.25">
      <c r="A3">
        <v>1</v>
      </c>
      <c r="B3">
        <v>1</v>
      </c>
      <c r="D3">
        <v>1</v>
      </c>
      <c r="E3">
        <v>2</v>
      </c>
      <c r="G3">
        <v>1</v>
      </c>
      <c r="H3">
        <v>1</v>
      </c>
      <c r="J3" t="s">
        <v>16</v>
      </c>
      <c r="K3" t="s">
        <v>182</v>
      </c>
      <c r="L3" t="s">
        <v>18</v>
      </c>
      <c r="M3" t="s">
        <v>19</v>
      </c>
      <c r="N3" t="s">
        <v>183</v>
      </c>
      <c r="O3" t="s">
        <v>184</v>
      </c>
      <c r="P3" t="s">
        <v>35</v>
      </c>
      <c r="Q3" t="s">
        <v>35</v>
      </c>
    </row>
    <row r="4" spans="1:17" x14ac:dyDescent="0.25">
      <c r="A4">
        <v>2</v>
      </c>
      <c r="B4">
        <v>1</v>
      </c>
      <c r="D4">
        <v>2</v>
      </c>
      <c r="E4">
        <v>1</v>
      </c>
      <c r="G4">
        <v>2</v>
      </c>
      <c r="H4">
        <v>2</v>
      </c>
      <c r="J4" t="s">
        <v>22</v>
      </c>
      <c r="K4" t="s">
        <v>185</v>
      </c>
      <c r="L4" t="s">
        <v>18</v>
      </c>
      <c r="M4" t="s">
        <v>113</v>
      </c>
      <c r="N4" t="s">
        <v>186</v>
      </c>
      <c r="O4" t="s">
        <v>187</v>
      </c>
      <c r="P4" t="s">
        <v>35</v>
      </c>
      <c r="Q4" t="s">
        <v>35</v>
      </c>
    </row>
    <row r="5" spans="1:17" x14ac:dyDescent="0.25">
      <c r="A5">
        <v>3</v>
      </c>
      <c r="B5">
        <v>2</v>
      </c>
      <c r="D5">
        <v>3</v>
      </c>
      <c r="E5">
        <v>1</v>
      </c>
      <c r="G5">
        <v>3</v>
      </c>
      <c r="H5">
        <v>1</v>
      </c>
      <c r="J5" t="s">
        <v>27</v>
      </c>
      <c r="K5" t="s">
        <v>188</v>
      </c>
      <c r="L5" t="s">
        <v>29</v>
      </c>
      <c r="M5" t="s">
        <v>117</v>
      </c>
      <c r="N5" t="s">
        <v>189</v>
      </c>
      <c r="O5" t="s">
        <v>190</v>
      </c>
      <c r="P5" t="s">
        <v>35</v>
      </c>
      <c r="Q5" t="s">
        <v>35</v>
      </c>
    </row>
    <row r="6" spans="1:17" x14ac:dyDescent="0.25">
      <c r="A6">
        <v>1</v>
      </c>
      <c r="B6">
        <v>2</v>
      </c>
      <c r="D6">
        <v>1</v>
      </c>
      <c r="E6">
        <v>1</v>
      </c>
      <c r="G6">
        <v>1</v>
      </c>
      <c r="H6">
        <v>1</v>
      </c>
      <c r="J6" t="s">
        <v>191</v>
      </c>
      <c r="K6" t="s">
        <v>192</v>
      </c>
      <c r="L6" t="s">
        <v>35</v>
      </c>
      <c r="M6" t="s">
        <v>35</v>
      </c>
      <c r="N6" t="s">
        <v>35</v>
      </c>
      <c r="O6" t="s">
        <v>35</v>
      </c>
      <c r="P6" t="s">
        <v>35</v>
      </c>
      <c r="Q6" t="s">
        <v>35</v>
      </c>
    </row>
    <row r="7" spans="1:17" x14ac:dyDescent="0.25">
      <c r="A7">
        <v>2</v>
      </c>
      <c r="B7">
        <v>2</v>
      </c>
      <c r="D7">
        <v>2</v>
      </c>
      <c r="E7">
        <v>1</v>
      </c>
      <c r="G7">
        <v>2</v>
      </c>
      <c r="H7">
        <v>2</v>
      </c>
    </row>
    <row r="8" spans="1:17" x14ac:dyDescent="0.25">
      <c r="A8">
        <v>3</v>
      </c>
      <c r="B8">
        <v>2</v>
      </c>
      <c r="D8">
        <v>3</v>
      </c>
      <c r="E8">
        <v>1</v>
      </c>
      <c r="G8">
        <v>3</v>
      </c>
      <c r="H8">
        <v>1</v>
      </c>
      <c r="J8" t="s">
        <v>9</v>
      </c>
      <c r="K8" t="s">
        <v>10</v>
      </c>
      <c r="L8" t="s">
        <v>12</v>
      </c>
      <c r="M8" t="s">
        <v>13</v>
      </c>
      <c r="N8" t="s">
        <v>14</v>
      </c>
      <c r="O8" t="s">
        <v>15</v>
      </c>
    </row>
    <row r="9" spans="1:17" x14ac:dyDescent="0.25">
      <c r="A9">
        <v>1</v>
      </c>
      <c r="B9">
        <v>1</v>
      </c>
      <c r="D9">
        <v>1</v>
      </c>
      <c r="E9">
        <v>1</v>
      </c>
      <c r="G9">
        <v>1</v>
      </c>
      <c r="H9">
        <v>2</v>
      </c>
      <c r="J9" t="s">
        <v>16</v>
      </c>
      <c r="K9" t="s">
        <v>193</v>
      </c>
      <c r="L9" t="s">
        <v>18</v>
      </c>
      <c r="M9" t="s">
        <v>19</v>
      </c>
      <c r="N9" t="s">
        <v>194</v>
      </c>
      <c r="O9" t="s">
        <v>195</v>
      </c>
    </row>
    <row r="10" spans="1:17" x14ac:dyDescent="0.25">
      <c r="A10">
        <v>2</v>
      </c>
      <c r="B10">
        <v>2</v>
      </c>
      <c r="D10">
        <v>2</v>
      </c>
      <c r="E10">
        <v>1</v>
      </c>
      <c r="G10">
        <v>2</v>
      </c>
      <c r="H10">
        <v>1</v>
      </c>
      <c r="J10" t="s">
        <v>22</v>
      </c>
      <c r="K10" t="s">
        <v>196</v>
      </c>
      <c r="L10" t="s">
        <v>18</v>
      </c>
      <c r="M10" t="s">
        <v>113</v>
      </c>
      <c r="N10" t="s">
        <v>197</v>
      </c>
      <c r="O10" t="s">
        <v>198</v>
      </c>
    </row>
    <row r="11" spans="1:17" x14ac:dyDescent="0.25">
      <c r="A11">
        <v>3</v>
      </c>
      <c r="B11">
        <v>1</v>
      </c>
      <c r="D11">
        <v>3</v>
      </c>
      <c r="E11">
        <v>1</v>
      </c>
      <c r="G11">
        <v>3</v>
      </c>
      <c r="H11">
        <v>2</v>
      </c>
      <c r="J11" t="s">
        <v>27</v>
      </c>
      <c r="K11" t="s">
        <v>199</v>
      </c>
      <c r="L11" t="s">
        <v>29</v>
      </c>
      <c r="M11" t="s">
        <v>117</v>
      </c>
      <c r="N11" t="s">
        <v>200</v>
      </c>
      <c r="O11" t="s">
        <v>200</v>
      </c>
    </row>
    <row r="12" spans="1:17" x14ac:dyDescent="0.25">
      <c r="A12">
        <v>1</v>
      </c>
      <c r="B12">
        <v>2</v>
      </c>
      <c r="D12">
        <v>1</v>
      </c>
      <c r="E12">
        <v>2</v>
      </c>
      <c r="G12">
        <v>1</v>
      </c>
      <c r="H12">
        <v>2</v>
      </c>
      <c r="J12" t="s">
        <v>201</v>
      </c>
      <c r="K12" t="s">
        <v>202</v>
      </c>
      <c r="L12" t="s">
        <v>35</v>
      </c>
      <c r="M12" t="s">
        <v>35</v>
      </c>
      <c r="N12" t="s">
        <v>35</v>
      </c>
      <c r="O12" t="s">
        <v>35</v>
      </c>
    </row>
    <row r="13" spans="1:17" x14ac:dyDescent="0.25">
      <c r="A13">
        <v>2</v>
      </c>
      <c r="B13">
        <v>1</v>
      </c>
      <c r="D13">
        <v>2</v>
      </c>
      <c r="E13">
        <v>2</v>
      </c>
      <c r="G13">
        <v>2</v>
      </c>
      <c r="H13">
        <v>2</v>
      </c>
    </row>
    <row r="14" spans="1:17" x14ac:dyDescent="0.25">
      <c r="A14">
        <v>3</v>
      </c>
      <c r="B14">
        <v>2</v>
      </c>
      <c r="D14">
        <v>3</v>
      </c>
      <c r="E14">
        <v>2</v>
      </c>
      <c r="G14">
        <v>3</v>
      </c>
      <c r="H14">
        <v>2</v>
      </c>
      <c r="J14" t="s">
        <v>9</v>
      </c>
      <c r="K14" t="s">
        <v>10</v>
      </c>
      <c r="L14" t="s">
        <v>12</v>
      </c>
      <c r="M14" t="s">
        <v>13</v>
      </c>
      <c r="N14" t="s">
        <v>14</v>
      </c>
    </row>
    <row r="15" spans="1:17" x14ac:dyDescent="0.25">
      <c r="D15">
        <v>1</v>
      </c>
      <c r="E15">
        <v>1</v>
      </c>
      <c r="G15">
        <v>1</v>
      </c>
      <c r="H15">
        <v>2</v>
      </c>
      <c r="J15" t="s">
        <v>16</v>
      </c>
      <c r="K15" t="s">
        <v>203</v>
      </c>
      <c r="L15" t="s">
        <v>18</v>
      </c>
      <c r="M15" t="s">
        <v>19</v>
      </c>
      <c r="N15" t="s">
        <v>204</v>
      </c>
    </row>
    <row r="16" spans="1:17" x14ac:dyDescent="0.25">
      <c r="D16">
        <v>2</v>
      </c>
      <c r="E16">
        <v>2</v>
      </c>
      <c r="G16">
        <v>2</v>
      </c>
      <c r="H16">
        <v>2</v>
      </c>
      <c r="J16" t="s">
        <v>22</v>
      </c>
      <c r="K16" t="s">
        <v>205</v>
      </c>
      <c r="L16" t="s">
        <v>18</v>
      </c>
      <c r="M16" t="s">
        <v>113</v>
      </c>
      <c r="N16" t="s">
        <v>206</v>
      </c>
    </row>
    <row r="17" spans="4:14" x14ac:dyDescent="0.25">
      <c r="D17">
        <v>3</v>
      </c>
      <c r="E17">
        <v>2</v>
      </c>
      <c r="G17">
        <v>3</v>
      </c>
      <c r="H17">
        <v>2</v>
      </c>
      <c r="J17" t="s">
        <v>27</v>
      </c>
      <c r="K17" t="s">
        <v>207</v>
      </c>
      <c r="L17" t="s">
        <v>29</v>
      </c>
      <c r="M17" t="s">
        <v>117</v>
      </c>
      <c r="N17" t="s">
        <v>208</v>
      </c>
    </row>
    <row r="18" spans="4:14" x14ac:dyDescent="0.25">
      <c r="D18">
        <v>1</v>
      </c>
      <c r="E18">
        <v>1</v>
      </c>
      <c r="G18">
        <v>1</v>
      </c>
      <c r="H18">
        <v>1</v>
      </c>
      <c r="J18" t="s">
        <v>209</v>
      </c>
      <c r="K18" t="s">
        <v>210</v>
      </c>
      <c r="L18" t="s">
        <v>35</v>
      </c>
      <c r="M18" t="s">
        <v>35</v>
      </c>
      <c r="N18" t="s">
        <v>35</v>
      </c>
    </row>
    <row r="19" spans="4:14" x14ac:dyDescent="0.25">
      <c r="D19">
        <v>2</v>
      </c>
      <c r="E19">
        <v>1</v>
      </c>
      <c r="G19">
        <v>2</v>
      </c>
      <c r="H19">
        <v>1</v>
      </c>
    </row>
    <row r="20" spans="4:14" x14ac:dyDescent="0.25">
      <c r="D20">
        <v>3</v>
      </c>
      <c r="E20">
        <v>1</v>
      </c>
      <c r="G20">
        <v>3</v>
      </c>
      <c r="H20">
        <v>2</v>
      </c>
      <c r="J20" t="s">
        <v>248</v>
      </c>
    </row>
    <row r="21" spans="4:14" x14ac:dyDescent="0.25">
      <c r="J21" s="51">
        <v>4</v>
      </c>
    </row>
  </sheetData>
  <mergeCells count="3">
    <mergeCell ref="A1:B1"/>
    <mergeCell ref="D1:E1"/>
    <mergeCell ref="G1:H1"/>
  </mergeCells>
  <pageMargins left="0.511811024" right="0.511811024" top="0.78740157499999996" bottom="0.78740157499999996" header="0.31496062000000002" footer="0.31496062000000002"/>
  <tableParts count="6">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A37493-02E3-442D-A852-719A8DBBC1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Central</vt:lpstr>
      <vt:lpstr>Caetano Veloso</vt:lpstr>
      <vt:lpstr>Dilermando Reis</vt:lpstr>
      <vt:lpstr>Ernesto Nazareth</vt:lpstr>
      <vt:lpstr>Heitor Villa-Lobos</vt:lpstr>
      <vt:lpstr>Tom Jobim</vt:lpstr>
      <vt:lpstr>BancoDeDados</vt:lpstr>
      <vt:lpstr>BD CAET</vt:lpstr>
      <vt:lpstr>BD DILERM</vt:lpstr>
      <vt:lpstr>BD ERNE</vt:lpstr>
      <vt:lpstr>BD HEIT</vt:lpstr>
      <vt:lpstr>BD TOM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PIM ADS</dc:creator>
  <cp:lastModifiedBy>PIM ADS</cp:lastModifiedBy>
  <cp:lastPrinted>2023-11-20T20:32:45Z</cp:lastPrinted>
  <dcterms:created xsi:type="dcterms:W3CDTF">2023-11-20T18:57:26Z</dcterms:created>
  <dcterms:modified xsi:type="dcterms:W3CDTF">2023-11-29T02:00:00Z</dcterms:modified>
</cp:coreProperties>
</file>